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ipeline" sheetId="2" state="visible" r:id="rId2"/>
    <sheet name="Lists" sheetId="3" state="visible" r:id="rId3"/>
  </sheets>
  <definedNames>
    <definedName name="_xlnm._FilterDatabase" localSheetId="1" hidden="1">'Pipeline'!$A$1:$Y$442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m d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color rgb="001F5FAF"/>
      <u val="single"/>
    </font>
    <font>
      <b val="1"/>
      <color rgb="0016140F"/>
      <sz val="18"/>
    </font>
    <font>
      <color rgb="006E685E"/>
    </font>
    <font>
      <b val="1"/>
      <color rgb="0016140F"/>
    </font>
    <font>
      <color rgb="00333333"/>
    </font>
    <font>
      <b val="1"/>
      <color rgb="009A5A32"/>
    </font>
    <font>
      <i val="1"/>
      <color rgb="006E685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1A17"/>
      </patternFill>
    </fill>
  </fills>
  <borders count="2">
    <border>
      <left/>
      <right/>
      <top/>
      <bottom/>
      <diagonal/>
    </border>
    <border>
      <bottom style="thin">
        <color rgb="00E6E1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FF3D6"/>
        </patternFill>
      </fill>
    </dxf>
    <dxf>
      <fill>
        <patternFill patternType="solid">
          <fgColor rgb="00FDE7CF"/>
        </patternFill>
      </fill>
    </dxf>
    <dxf>
      <fill>
        <patternFill patternType="solid">
          <fgColor rgb="00E8E0F5"/>
        </patternFill>
      </fill>
    </dxf>
    <dxf>
      <fill>
        <patternFill patternType="solid">
          <fgColor rgb="00DDF0E4"/>
        </patternFill>
      </fill>
    </dxf>
    <dxf>
      <fill>
        <patternFill patternType="solid">
          <fgColor rgb="00BFE5CC"/>
        </patternFill>
      </fill>
    </dxf>
    <dxf>
      <fill>
        <patternFill patternType="solid">
          <fgColor rgb="00EEEEEE"/>
        </patternFill>
      </fill>
    </dxf>
    <dxf>
      <font>
        <b val="1"/>
        <color rgb="00C0392B"/>
      </font>
    </dxf>
    <dxf>
      <font>
        <strike val="1"/>
        <color rgb="0099999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ctinoliterestaurant.com" TargetMode="External" Id="rId1" /><Relationship Type="http://schemas.openxmlformats.org/officeDocument/2006/relationships/hyperlink" Target="https://instagram.com/actinoliterestaurant" TargetMode="External" Id="rId2" /><Relationship Type="http://schemas.openxmlformats.org/officeDocument/2006/relationships/hyperlink" Target="https://guide.michelin.com/ca/en/ontario/toronto/restaurant/actinolite" TargetMode="External" Id="rId3" /><Relationship Type="http://schemas.openxmlformats.org/officeDocument/2006/relationships/hyperlink" Target="https://www.antlerkitchenbar.com" TargetMode="External" Id="rId4" /><Relationship Type="http://schemas.openxmlformats.org/officeDocument/2006/relationships/hyperlink" Target="https://instagram.com/antlerkitchenbar" TargetMode="External" Id="rId5" /><Relationship Type="http://schemas.openxmlformats.org/officeDocument/2006/relationships/hyperlink" Target="https://guide.michelin.com/ca/en/ontario/toronto/restaurant/antler" TargetMode="External" Id="rId6" /><Relationship Type="http://schemas.openxmlformats.org/officeDocument/2006/relationships/hyperlink" Target="https://azhartoronto.com" TargetMode="External" Id="rId7" /><Relationship Type="http://schemas.openxmlformats.org/officeDocument/2006/relationships/hyperlink" Target="https://instagram.com/azhartoronto" TargetMode="External" Id="rId8" /><Relationship Type="http://schemas.openxmlformats.org/officeDocument/2006/relationships/hyperlink" Target="https://azhartoronto.com" TargetMode="External" Id="rId9" /><Relationship Type="http://schemas.openxmlformats.org/officeDocument/2006/relationships/hyperlink" Target="https://cotedeboeuf.ca" TargetMode="External" Id="rId10" /><Relationship Type="http://schemas.openxmlformats.org/officeDocument/2006/relationships/hyperlink" Target="https://instagram.com/cotedeboeufossington" TargetMode="External" Id="rId11" /><Relationship Type="http://schemas.openxmlformats.org/officeDocument/2006/relationships/hyperlink" Target="https://cotedeboeuf.ca" TargetMode="External" Id="rId12" /><Relationship Type="http://schemas.openxmlformats.org/officeDocument/2006/relationships/hyperlink" Target="https://sociale.ca" TargetMode="External" Id="rId13" /><Relationship Type="http://schemas.openxmlformats.org/officeDocument/2006/relationships/hyperlink" Target="https://guide.michelin.com/ca/en/ontario/toronto/restaurant/enoteca-sociale" TargetMode="External" Id="rId14" /><Relationship Type="http://schemas.openxmlformats.org/officeDocument/2006/relationships/hyperlink" Target="https://instagram.com/fallenfeather217" TargetMode="External" Id="rId15" /><Relationship Type="http://schemas.openxmlformats.org/officeDocument/2006/relationships/hyperlink" Target="https://streetsoftoronto.com/food/5-spots-on-ossington-every-foodie-needs-to-try/" TargetMode="External" Id="rId16" /><Relationship Type="http://schemas.openxmlformats.org/officeDocument/2006/relationships/hyperlink" Target="https://www.fatchoito.com" TargetMode="External" Id="rId17" /><Relationship Type="http://schemas.openxmlformats.org/officeDocument/2006/relationships/hyperlink" Target="https://www.fatchoito.com" TargetMode="External" Id="rId18" /><Relationship Type="http://schemas.openxmlformats.org/officeDocument/2006/relationships/hyperlink" Target="https://www.myfavethai.com" TargetMode="External" Id="rId19" /><Relationship Type="http://schemas.openxmlformats.org/officeDocument/2006/relationships/hyperlink" Target="https://instagram.com/myfavethai" TargetMode="External" Id="rId20" /><Relationship Type="http://schemas.openxmlformats.org/officeDocument/2006/relationships/hyperlink" Target="https://guide.michelin.com/ca/en/ontario/toronto/restaurant/favorites-thai" TargetMode="External" Id="rId21" /><Relationship Type="http://schemas.openxmlformats.org/officeDocument/2006/relationships/hyperlink" Target="https://giarestaurant.ca" TargetMode="External" Id="rId22" /><Relationship Type="http://schemas.openxmlformats.org/officeDocument/2006/relationships/hyperlink" Target="https://instagram.com/giatoronto" TargetMode="External" Id="rId23" /><Relationship Type="http://schemas.openxmlformats.org/officeDocument/2006/relationships/hyperlink" Target="https://guide.michelin.com/ca/en/ontario/toronto/restaurant/gia" TargetMode="External" Id="rId24" /><Relationship Type="http://schemas.openxmlformats.org/officeDocument/2006/relationships/hyperlink" Target="https://www.imanishi.ca" TargetMode="External" Id="rId25" /><Relationship Type="http://schemas.openxmlformats.org/officeDocument/2006/relationships/hyperlink" Target="https://instagram.com/imanishijapanesekitchen" TargetMode="External" Id="rId26" /><Relationship Type="http://schemas.openxmlformats.org/officeDocument/2006/relationships/hyperlink" Target="https://streetsoftoronto.com/food/5-restaurants-on-dundas-west-that-every-foodie-needs-to-try/" TargetMode="External" Id="rId27" /><Relationship Type="http://schemas.openxmlformats.org/officeDocument/2006/relationships/hyperlink" Target="https://www.labanane.ca" TargetMode="External" Id="rId28" /><Relationship Type="http://schemas.openxmlformats.org/officeDocument/2006/relationships/hyperlink" Target="https://instagram.com/labananeresto" TargetMode="External" Id="rId29" /><Relationship Type="http://schemas.openxmlformats.org/officeDocument/2006/relationships/hyperlink" Target="https://guide.michelin.com/ca/en/ontario/toronto/restaurant/la-banane" TargetMode="External" Id="rId30" /><Relationship Type="http://schemas.openxmlformats.org/officeDocument/2006/relationships/hyperlink" Target="https://linnysrestaurant.com" TargetMode="External" Id="rId31" /><Relationship Type="http://schemas.openxmlformats.org/officeDocument/2006/relationships/hyperlink" Target="https://instagram.com/linnysrestaurant" TargetMode="External" Id="rId32" /><Relationship Type="http://schemas.openxmlformats.org/officeDocument/2006/relationships/hyperlink" Target="https://guide.michelin.com/ca/en/ontario/toronto/restaurant/linny-s" TargetMode="External" Id="rId33" /><Relationship Type="http://schemas.openxmlformats.org/officeDocument/2006/relationships/hyperlink" Target="https://mamakas.ca/locations/mamakas-ossington/" TargetMode="External" Id="rId34" /><Relationship Type="http://schemas.openxmlformats.org/officeDocument/2006/relationships/hyperlink" Target="https://instagram.com/mamakastaverna" TargetMode="External" Id="rId35" /><Relationship Type="http://schemas.openxmlformats.org/officeDocument/2006/relationships/hyperlink" Target="https://mamakas.ca/locations/mamakas-ossington/" TargetMode="External" Id="rId36" /><Relationship Type="http://schemas.openxmlformats.org/officeDocument/2006/relationships/hyperlink" Target="https://mssmossington.ca" TargetMode="External" Id="rId37" /><Relationship Type="http://schemas.openxmlformats.org/officeDocument/2006/relationships/hyperlink" Target="https://instagram.com/mssmossington" TargetMode="External" Id="rId38" /><Relationship Type="http://schemas.openxmlformats.org/officeDocument/2006/relationships/hyperlink" Target="https://mssmossington.ca" TargetMode="External" Id="rId39" /><Relationship Type="http://schemas.openxmlformats.org/officeDocument/2006/relationships/hyperlink" Target="https://oddseoul.ca" TargetMode="External" Id="rId40" /><Relationship Type="http://schemas.openxmlformats.org/officeDocument/2006/relationships/hyperlink" Target="https://instagram.com/90oddseoul" TargetMode="External" Id="rId41" /><Relationship Type="http://schemas.openxmlformats.org/officeDocument/2006/relationships/hyperlink" Target="https://streetsoftoronto.com/food/5-spots-on-ossington-every-foodie-needs-to-try/" TargetMode="External" Id="rId42" /><Relationship Type="http://schemas.openxmlformats.org/officeDocument/2006/relationships/hyperlink" Target="https://www.papiandrosita.com" TargetMode="External" Id="rId43" /><Relationship Type="http://schemas.openxmlformats.org/officeDocument/2006/relationships/hyperlink" Target="https://www.papiandrosita.com" TargetMode="External" Id="rId44" /><Relationship Type="http://schemas.openxmlformats.org/officeDocument/2006/relationships/hyperlink" Target="https://www.papichulos.ca" TargetMode="External" Id="rId45" /><Relationship Type="http://schemas.openxmlformats.org/officeDocument/2006/relationships/hyperlink" Target="https://instagram.com/eatpapichulos" TargetMode="External" Id="rId46" /><Relationship Type="http://schemas.openxmlformats.org/officeDocument/2006/relationships/hyperlink" Target="https://www.papichulos.ca" TargetMode="External" Id="rId47" /><Relationship Type="http://schemas.openxmlformats.org/officeDocument/2006/relationships/hyperlink" Target="https://photienthanh.com" TargetMode="External" Id="rId48" /><Relationship Type="http://schemas.openxmlformats.org/officeDocument/2006/relationships/hyperlink" Target="https://instagram.com/photienthanhto" TargetMode="External" Id="rId49" /><Relationship Type="http://schemas.openxmlformats.org/officeDocument/2006/relationships/hyperlink" Target="https://guide.michelin.com/ca/en/ontario/toronto/restaurant/pho-tien-thanh" TargetMode="External" Id="rId50" /><Relationship Type="http://schemas.openxmlformats.org/officeDocument/2006/relationships/hyperlink" Target="https://instagram.com/pandtytoronto" TargetMode="External" Id="rId51" /><Relationship Type="http://schemas.openxmlformats.org/officeDocument/2006/relationships/hyperlink" Target="https://streetsoftoronto.com/food/team-behind-one-of-ossingtons-best-restaurants-just-opened-another-must-visit-spot/" TargetMode="External" Id="rId52" /><Relationship Type="http://schemas.openxmlformats.org/officeDocument/2006/relationships/hyperlink" Target="https://tabernalx.com" TargetMode="External" Id="rId53" /><Relationship Type="http://schemas.openxmlformats.org/officeDocument/2006/relationships/hyperlink" Target="https://instagram.com/taberna_lx_to" TargetMode="External" Id="rId54" /><Relationship Type="http://schemas.openxmlformats.org/officeDocument/2006/relationships/hyperlink" Target="https://foodism.ca/eat-drink/bars-restaurants/best-new-restaurants-toronto-fall-2025/" TargetMode="External" Id="rId55" /><Relationship Type="http://schemas.openxmlformats.org/officeDocument/2006/relationships/hyperlink" Target="https://www.thehaifaroom.com" TargetMode="External" Id="rId56" /><Relationship Type="http://schemas.openxmlformats.org/officeDocument/2006/relationships/hyperlink" Target="https://www.thehaifaroom.com" TargetMode="External" Id="rId57" /><Relationship Type="http://schemas.openxmlformats.org/officeDocument/2006/relationships/hyperlink" Target="https://thelunchlady.com" TargetMode="External" Id="rId58" /><Relationship Type="http://schemas.openxmlformats.org/officeDocument/2006/relationships/hyperlink" Target="https://guide.michelin.com/ca/en/ontario/toronto/restaurant/the-lunch-lady-of-saigon" TargetMode="External" Id="rId59" /><Relationship Type="http://schemas.openxmlformats.org/officeDocument/2006/relationships/hyperlink" Target="https://union72.ca" TargetMode="External" Id="rId60" /><Relationship Type="http://schemas.openxmlformats.org/officeDocument/2006/relationships/hyperlink" Target="https://instagram.com/union_restaurant" TargetMode="External" Id="rId61" /><Relationship Type="http://schemas.openxmlformats.org/officeDocument/2006/relationships/hyperlink" Target="https://guide.michelin.com/ca/en/ontario/toronto/restaurant/union-1198909" TargetMode="External" Id="rId62" /><Relationship Type="http://schemas.openxmlformats.org/officeDocument/2006/relationships/hyperlink" Target="http://www.thelakeviewrestaurant.ca" TargetMode="External" Id="rId63" /><Relationship Type="http://schemas.openxmlformats.org/officeDocument/2006/relationships/hyperlink" Target="https://instagram.com/thelakeviewdiner" TargetMode="External" Id="rId64" /><Relationship Type="http://schemas.openxmlformats.org/officeDocument/2006/relationships/hyperlink" Target="http://www.thelakeviewrestaurant.ca" TargetMode="External" Id="rId65" /><Relationship Type="http://schemas.openxmlformats.org/officeDocument/2006/relationships/hyperlink" Target="https://www.designlinesmagazine.com/ossington-strip-neighbourhood-guide/" TargetMode="External" Id="rId66" /><Relationship Type="http://schemas.openxmlformats.org/officeDocument/2006/relationships/hyperlink" Target="https://instagram.com/linnysluncheonette" TargetMode="External" Id="rId67" /><Relationship Type="http://schemas.openxmlformats.org/officeDocument/2006/relationships/hyperlink" Target="https://streetsoftoronto.com/food/restaurants/the-6-best-new-restaurants-on-ossington/" TargetMode="External" Id="rId68" /><Relationship Type="http://schemas.openxmlformats.org/officeDocument/2006/relationships/hyperlink" Target="https://www.manita.ca" TargetMode="External" Id="rId69" /><Relationship Type="http://schemas.openxmlformats.org/officeDocument/2006/relationships/hyperlink" Target="https://instagram.com/manita.toronto" TargetMode="External" Id="rId70" /><Relationship Type="http://schemas.openxmlformats.org/officeDocument/2006/relationships/hyperlink" Target="https://www.manita.ca" TargetMode="External" Id="rId71" /><Relationship Type="http://schemas.openxmlformats.org/officeDocument/2006/relationships/hyperlink" Target="https://foodism.ca/eat-drink/bars-restaurants/best-new-restaurants-toronto-fall-2025/" TargetMode="External" Id="rId72" /><Relationship Type="http://schemas.openxmlformats.org/officeDocument/2006/relationships/hyperlink" Target="https://stefanosdiner.com" TargetMode="External" Id="rId73" /><Relationship Type="http://schemas.openxmlformats.org/officeDocument/2006/relationships/hyperlink" Target="https://instagram.com/stefanosdiner" TargetMode="External" Id="rId74" /><Relationship Type="http://schemas.openxmlformats.org/officeDocument/2006/relationships/hyperlink" Target="https://streetsoftoronto.com/food/5-restaurants-on-dundas-west-that-every-foodie-needs-to-try/" TargetMode="External" Id="rId75" /><Relationship Type="http://schemas.openxmlformats.org/officeDocument/2006/relationships/hyperlink" Target="https://formulafig.com/" TargetMode="External" Id="rId76" /><Relationship Type="http://schemas.openxmlformats.org/officeDocument/2006/relationships/hyperlink" Target="https://instagram.com/formulafig" TargetMode="External" Id="rId77" /><Relationship Type="http://schemas.openxmlformats.org/officeDocument/2006/relationships/hyperlink" Target="https://curiocity.com/toronto-spas-massages-facials/" TargetMode="External" Id="rId78" /><Relationship Type="http://schemas.openxmlformats.org/officeDocument/2006/relationships/hyperlink" Target="https://www.academyoflions.com/" TargetMode="External" Id="rId79" /><Relationship Type="http://schemas.openxmlformats.org/officeDocument/2006/relationships/hyperlink" Target="https://instagram.com/academyoflions" TargetMode="External" Id="rId80" /><Relationship Type="http://schemas.openxmlformats.org/officeDocument/2006/relationships/hyperlink" Target="https://www.academyoflions.com/" TargetMode="External" Id="rId81" /><Relationship Type="http://schemas.openxmlformats.org/officeDocument/2006/relationships/hyperlink" Target="https://www.assemblymovement.ca/" TargetMode="External" Id="rId82" /><Relationship Type="http://schemas.openxmlformats.org/officeDocument/2006/relationships/hyperlink" Target="https://instagram.com/assembly_movement" TargetMode="External" Id="rId83" /><Relationship Type="http://schemas.openxmlformats.org/officeDocument/2006/relationships/hyperlink" Target="https://www.assemblymovement.ca/" TargetMode="External" Id="rId84" /><Relationship Type="http://schemas.openxmlformats.org/officeDocument/2006/relationships/hyperlink" Target="https://downwarddog.com/" TargetMode="External" Id="rId85" /><Relationship Type="http://schemas.openxmlformats.org/officeDocument/2006/relationships/hyperlink" Target="https://instagram.com/downwarddogyoga" TargetMode="External" Id="rId86" /><Relationship Type="http://schemas.openxmlformats.org/officeDocument/2006/relationships/hyperlink" Target="https://ma.to/venue/downwarddogyoga" TargetMode="External" Id="rId87" /><Relationship Type="http://schemas.openxmlformats.org/officeDocument/2006/relationships/hyperlink" Target="https://www.musemovement.ca/" TargetMode="External" Id="rId88" /><Relationship Type="http://schemas.openxmlformats.org/officeDocument/2006/relationships/hyperlink" Target="https://instagram.com/muse_movement" TargetMode="External" Id="rId89" /><Relationship Type="http://schemas.openxmlformats.org/officeDocument/2006/relationships/hyperlink" Target="https://www.musemovement.ca/" TargetMode="External" Id="rId90" /><Relationship Type="http://schemas.openxmlformats.org/officeDocument/2006/relationships/hyperlink" Target="https://octopusgardenyoga.com/" TargetMode="External" Id="rId91" /><Relationship Type="http://schemas.openxmlformats.org/officeDocument/2006/relationships/hyperlink" Target="https://www.blogto.com/fitness/octopus-garden-yoga-toronto/" TargetMode="External" Id="rId92" /><Relationship Type="http://schemas.openxmlformats.org/officeDocument/2006/relationships/hyperlink" Target="https://ridecycleclub.com/" TargetMode="External" Id="rId93" /><Relationship Type="http://schemas.openxmlformats.org/officeDocument/2006/relationships/hyperlink" Target="https://instagram.com/ridecycleclub" TargetMode="External" Id="rId94" /><Relationship Type="http://schemas.openxmlformats.org/officeDocument/2006/relationships/hyperlink" Target="https://ridecycleclub.com/" TargetMode="External" Id="rId95" /><Relationship Type="http://schemas.openxmlformats.org/officeDocument/2006/relationships/hyperlink" Target="https://www.yogaspace.net/" TargetMode="External" Id="rId96" /><Relationship Type="http://schemas.openxmlformats.org/officeDocument/2006/relationships/hyperlink" Target="https://instagram.com/yogaspaceto" TargetMode="External" Id="rId97" /><Relationship Type="http://schemas.openxmlformats.org/officeDocument/2006/relationships/hyperlink" Target="https://www.yogaspace.net/contact" TargetMode="External" Id="rId98" /><Relationship Type="http://schemas.openxmlformats.org/officeDocument/2006/relationships/hyperlink" Target="https://156onefivesix.com" TargetMode="External" Id="rId99" /><Relationship Type="http://schemas.openxmlformats.org/officeDocument/2006/relationships/hyperlink" Target="https://instagram.com/onefivesix_156" TargetMode="External" Id="rId100" /><Relationship Type="http://schemas.openxmlformats.org/officeDocument/2006/relationships/hyperlink" Target="https://guide.michelin.com/ca/en/ontario/toronto/restaurant/156-onefivesix" TargetMode="External" Id="rId101" /><Relationship Type="http://schemas.openxmlformats.org/officeDocument/2006/relationships/hyperlink" Target="https://www.aleria.ca" TargetMode="External" Id="rId102" /><Relationship Type="http://schemas.openxmlformats.org/officeDocument/2006/relationships/hyperlink" Target="https://instagram.com/aleria1070" TargetMode="External" Id="rId103" /><Relationship Type="http://schemas.openxmlformats.org/officeDocument/2006/relationships/hyperlink" Target="https://www.aleria.ca" TargetMode="External" Id="rId104" /><Relationship Type="http://schemas.openxmlformats.org/officeDocument/2006/relationships/hyperlink" Target="https://aloetterestaurant.com" TargetMode="External" Id="rId105" /><Relationship Type="http://schemas.openxmlformats.org/officeDocument/2006/relationships/hyperlink" Target="https://instagram.com/aloetterestaurants" TargetMode="External" Id="rId106" /><Relationship Type="http://schemas.openxmlformats.org/officeDocument/2006/relationships/hyperlink" Target="https://guide.michelin.com/ca/en/ontario/toronto/restaurant/aloette" TargetMode="External" Id="rId107" /><Relationship Type="http://schemas.openxmlformats.org/officeDocument/2006/relationships/hyperlink" Target="https://barprima.ca" TargetMode="External" Id="rId108" /><Relationship Type="http://schemas.openxmlformats.org/officeDocument/2006/relationships/hyperlink" Target="https://instagram.com/barprima.to" TargetMode="External" Id="rId109" /><Relationship Type="http://schemas.openxmlformats.org/officeDocument/2006/relationships/hyperlink" Target="https://barprima.ca" TargetMode="External" Id="rId110" /><Relationship Type="http://schemas.openxmlformats.org/officeDocument/2006/relationships/hyperlink" Target="https://www.barvendetta.com" TargetMode="External" Id="rId111" /><Relationship Type="http://schemas.openxmlformats.org/officeDocument/2006/relationships/hyperlink" Target="https://instagram.com/barvendetta" TargetMode="External" Id="rId112" /><Relationship Type="http://schemas.openxmlformats.org/officeDocument/2006/relationships/hyperlink" Target="https://guide.michelin.com/ca/en/ontario/toronto/restaurant/bar-vendetta" TargetMode="External" Id="rId113" /><Relationship Type="http://schemas.openxmlformats.org/officeDocument/2006/relationships/hyperlink" Target="https://www.gladstonehouse.ca/eat-drink/" TargetMode="External" Id="rId114" /><Relationship Type="http://schemas.openxmlformats.org/officeDocument/2006/relationships/hyperlink" Target="https://instagram.com/gladstonehouseto" TargetMode="External" Id="rId115" /><Relationship Type="http://schemas.openxmlformats.org/officeDocument/2006/relationships/hyperlink" Target="https://tdotevent.ca/blog/queen-west-ossington-bars-restaurants-2026.html" TargetMode="External" Id="rId116" /><Relationship Type="http://schemas.openxmlformats.org/officeDocument/2006/relationships/hyperlink" Target="https://www.cheznad.com" TargetMode="External" Id="rId117" /><Relationship Type="http://schemas.openxmlformats.org/officeDocument/2006/relationships/hyperlink" Target="https://instagram.com/cheznadtoronto" TargetMode="External" Id="rId118" /><Relationship Type="http://schemas.openxmlformats.org/officeDocument/2006/relationships/hyperlink" Target="https://retail-insider.com/retail-insider/2026/01/nadege-nourian-launches-chez-nad-in-toronto/" TargetMode="External" Id="rId119" /><Relationship Type="http://schemas.openxmlformats.org/officeDocument/2006/relationships/hyperlink" Target="https://opentable.ca/r/fonda-lola" TargetMode="External" Id="rId120" /><Relationship Type="http://schemas.openxmlformats.org/officeDocument/2006/relationships/hyperlink" Target="https://www.gladstonehouse.ca/eat-drink/" TargetMode="External" Id="rId121" /><Relationship Type="http://schemas.openxmlformats.org/officeDocument/2006/relationships/hyperlink" Target="https://instagram.com/gladstonehouseto" TargetMode="External" Id="rId122" /><Relationship Type="http://schemas.openxmlformats.org/officeDocument/2006/relationships/hyperlink" Target="https://www.gladstonehouse.ca/eat-drink/" TargetMode="External" Id="rId123" /><Relationship Type="http://schemas.openxmlformats.org/officeDocument/2006/relationships/hyperlink" Target="https://www.henrystoronto.ca" TargetMode="External" Id="rId124" /><Relationship Type="http://schemas.openxmlformats.org/officeDocument/2006/relationships/hyperlink" Target="https://instagram.com/henrys.to" TargetMode="External" Id="rId125" /><Relationship Type="http://schemas.openxmlformats.org/officeDocument/2006/relationships/hyperlink" Target="https://guide.michelin.com/ca/en/ontario/toronto/restaurant/henry-s-1203157" TargetMode="External" Id="rId126" /><Relationship Type="http://schemas.openxmlformats.org/officeDocument/2006/relationships/hyperlink" Target="https://streetsoftoronto.com/food/meet-the-pakistani-restaurant-thats-making-queen-west-cool-again/" TargetMode="External" Id="rId127" /><Relationship Type="http://schemas.openxmlformats.org/officeDocument/2006/relationships/hyperlink" Target="https://lapalma.ca" TargetMode="External" Id="rId128" /><Relationship Type="http://schemas.openxmlformats.org/officeDocument/2006/relationships/hyperlink" Target="https://instagram.com/lapalmato" TargetMode="External" Id="rId129" /><Relationship Type="http://schemas.openxmlformats.org/officeDocument/2006/relationships/hyperlink" Target="https://lapalma.ca" TargetMode="External" Id="rId130" /><Relationship Type="http://schemas.openxmlformats.org/officeDocument/2006/relationships/hyperlink" Target="https://www.lilianatoronto.com" TargetMode="External" Id="rId131" /><Relationship Type="http://schemas.openxmlformats.org/officeDocument/2006/relationships/hyperlink" Target="https://instagram.com/lilianarestaurant" TargetMode="External" Id="rId132" /><Relationship Type="http://schemas.openxmlformats.org/officeDocument/2006/relationships/hyperlink" Target="https://guide.michelin.com/ca/en/ontario/toronto/restaurant/liliana" TargetMode="External" Id="rId133" /><Relationship Type="http://schemas.openxmlformats.org/officeDocument/2006/relationships/hyperlink" Target="https://littleese.com" TargetMode="External" Id="rId134" /><Relationship Type="http://schemas.openxmlformats.org/officeDocument/2006/relationships/hyperlink" Target="https://instagram.com/eatlittleese" TargetMode="External" Id="rId135" /><Relationship Type="http://schemas.openxmlformats.org/officeDocument/2006/relationships/hyperlink" Target="https://www.blogto.com/eat_drink/2025/08/little-ese-plush-cafe-bar-toronto" TargetMode="External" Id="rId136" /><Relationship Type="http://schemas.openxmlformats.org/officeDocument/2006/relationships/hyperlink" Target="https://loeithai.ca" TargetMode="External" Id="rId137" /><Relationship Type="http://schemas.openxmlformats.org/officeDocument/2006/relationships/hyperlink" Target="https://streetsoftoronto.com/toronto-shopping/best-new-openings-queen-west/" TargetMode="External" Id="rId138" /><Relationship Type="http://schemas.openxmlformats.org/officeDocument/2006/relationships/hyperlink" Target="https://oysterboy.ca" TargetMode="External" Id="rId139" /><Relationship Type="http://schemas.openxmlformats.org/officeDocument/2006/relationships/hyperlink" Target="https://instagram.com/oysterboytoronto" TargetMode="External" Id="rId140" /><Relationship Type="http://schemas.openxmlformats.org/officeDocument/2006/relationships/hyperlink" Target="https://oysterboy.ca" TargetMode="External" Id="rId141" /><Relationship Type="http://schemas.openxmlformats.org/officeDocument/2006/relationships/hyperlink" Target="https://primeseafoodpalace.ca" TargetMode="External" Id="rId142" /><Relationship Type="http://schemas.openxmlformats.org/officeDocument/2006/relationships/hyperlink" Target="https://guide.michelin.com/ca/en/ontario/toronto/restaurant/prime-seafood-palace" TargetMode="External" Id="rId143" /><Relationship Type="http://schemas.openxmlformats.org/officeDocument/2006/relationships/hyperlink" Target="https://www.terroni.com/locations/terroni-queen" TargetMode="External" Id="rId144" /><Relationship Type="http://schemas.openxmlformats.org/officeDocument/2006/relationships/hyperlink" Target="https://instagram.com/terroni.to" TargetMode="External" Id="rId145" /><Relationship Type="http://schemas.openxmlformats.org/officeDocument/2006/relationships/hyperlink" Target="https://www.terroni.com/locations/terroni-queen" TargetMode="External" Id="rId146" /><Relationship Type="http://schemas.openxmlformats.org/officeDocument/2006/relationships/hyperlink" Target="https://thedrake.ca" TargetMode="External" Id="rId147" /><Relationship Type="http://schemas.openxmlformats.org/officeDocument/2006/relationships/hyperlink" Target="https://instagram.com/thedrakehotel" TargetMode="External" Id="rId148" /><Relationship Type="http://schemas.openxmlformats.org/officeDocument/2006/relationships/hyperlink" Target="https://thedrake.ca" TargetMode="External" Id="rId149" /><Relationship Type="http://schemas.openxmlformats.org/officeDocument/2006/relationships/hyperlink" Target="https://thegoodsontoronto.com" TargetMode="External" Id="rId150" /><Relationship Type="http://schemas.openxmlformats.org/officeDocument/2006/relationships/hyperlink" Target="https://instagram.com/thegoodson_to" TargetMode="External" Id="rId151" /><Relationship Type="http://schemas.openxmlformats.org/officeDocument/2006/relationships/hyperlink" Target="https://thegoodsontoronto.com" TargetMode="External" Id="rId152" /><Relationship Type="http://schemas.openxmlformats.org/officeDocument/2006/relationships/hyperlink" Target="https://foodism.ca/eat-drink/bars-restaurants/best-new-restaurants-toronto-fall-2025/" TargetMode="External" Id="rId153" /><Relationship Type="http://schemas.openxmlformats.org/officeDocument/2006/relationships/hyperlink" Target="https://www.ctvnews.ca/toronto/article/this-toronto-restaurant-serves-up-pancakes-endorsed-by-bad-bunny/" TargetMode="External" Id="rId154" /><Relationship Type="http://schemas.openxmlformats.org/officeDocument/2006/relationships/hyperlink" Target="https://plushcafe.ca" TargetMode="External" Id="rId155" /><Relationship Type="http://schemas.openxmlformats.org/officeDocument/2006/relationships/hyperlink" Target="https://instagram.com/plushcafeto" TargetMode="External" Id="rId156" /><Relationship Type="http://schemas.openxmlformats.org/officeDocument/2006/relationships/hyperlink" Target="https://www.blogto.com/eat_drink/2026/04/new-cafes-toronto-april-2026/" TargetMode="External" Id="rId157" /><Relationship Type="http://schemas.openxmlformats.org/officeDocument/2006/relationships/hyperlink" Target="https://trinitymarket.ca" TargetMode="External" Id="rId158" /><Relationship Type="http://schemas.openxmlformats.org/officeDocument/2006/relationships/hyperlink" Target="https://instagram.com/trinitymarketto" TargetMode="External" Id="rId159" /><Relationship Type="http://schemas.openxmlformats.org/officeDocument/2006/relationships/hyperlink" Target="https://trinitymarket.ca" TargetMode="External" Id="rId160" /><Relationship Type="http://schemas.openxmlformats.org/officeDocument/2006/relationships/hyperlink" Target="https://retail-insider.com/retail-insider/2026/01/nadege-nourian-launches-chez-nad-in-toronto/" TargetMode="External" Id="rId161" /><Relationship Type="http://schemas.openxmlformats.org/officeDocument/2006/relationships/hyperlink" Target="https://www.terroni.com/locations/sud-forno-queen" TargetMode="External" Id="rId162" /><Relationship Type="http://schemas.openxmlformats.org/officeDocument/2006/relationships/hyperlink" Target="https://www.terroni.com/locations/sud-forno-queen" TargetMode="External" Id="rId163" /><Relationship Type="http://schemas.openxmlformats.org/officeDocument/2006/relationships/hyperlink" Target="https://www.imprintpilates.com/" TargetMode="External" Id="rId164" /><Relationship Type="http://schemas.openxmlformats.org/officeDocument/2006/relationships/hyperlink" Target="https://instagram.com/imprintpilates" TargetMode="External" Id="rId165" /><Relationship Type="http://schemas.openxmlformats.org/officeDocument/2006/relationships/hyperlink" Target="https://www.imprintpilates.com/" TargetMode="External" Id="rId166" /><Relationship Type="http://schemas.openxmlformats.org/officeDocument/2006/relationships/hyperlink" Target="https://www.jaybirdjaybird.com/" TargetMode="External" Id="rId167" /><Relationship Type="http://schemas.openxmlformats.org/officeDocument/2006/relationships/hyperlink" Target="https://curiocity.com/toronto-wellness-studios-ontario/" TargetMode="External" Id="rId168" /><Relationship Type="http://schemas.openxmlformats.org/officeDocument/2006/relationships/hyperlink" Target="https://www.yogatree.ca/" TargetMode="External" Id="rId169" /><Relationship Type="http://schemas.openxmlformats.org/officeDocument/2006/relationships/hyperlink" Target="https://instagram.com/yogatreestudios" TargetMode="External" Id="rId170" /><Relationship Type="http://schemas.openxmlformats.org/officeDocument/2006/relationships/hyperlink" Target="https://www.yogatree.ca/locations" TargetMode="External" Id="rId171" /><Relationship Type="http://schemas.openxmlformats.org/officeDocument/2006/relationships/hyperlink" Target="https://www.gladstonehouse.ca/" TargetMode="External" Id="rId172" /><Relationship Type="http://schemas.openxmlformats.org/officeDocument/2006/relationships/hyperlink" Target="https://instagram.com/gladstonehouseto" TargetMode="External" Id="rId173" /><Relationship Type="http://schemas.openxmlformats.org/officeDocument/2006/relationships/hyperlink" Target="https://www.gladstonehouse.ca/" TargetMode="External" Id="rId174" /><Relationship Type="http://schemas.openxmlformats.org/officeDocument/2006/relationships/hyperlink" Target="https://aerarestaurant.com/" TargetMode="External" Id="rId175" /><Relationship Type="http://schemas.openxmlformats.org/officeDocument/2006/relationships/hyperlink" Target="https://instagram.com/aera.restaurant" TargetMode="External" Id="rId176" /><Relationship Type="http://schemas.openxmlformats.org/officeDocument/2006/relationships/hyperlink" Target="https://aerarestaurant.com/" TargetMode="External" Id="rId177" /><Relationship Type="http://schemas.openxmlformats.org/officeDocument/2006/relationships/hyperlink" Target="https://animlsteakhouse.com/" TargetMode="External" Id="rId178" /><Relationship Type="http://schemas.openxmlformats.org/officeDocument/2006/relationships/hyperlink" Target="https://animlsteakhouse.com/" TargetMode="External" Id="rId179" /><Relationship Type="http://schemas.openxmlformats.org/officeDocument/2006/relationships/hyperlink" Target="https://barotoronto.com/" TargetMode="External" Id="rId180" /><Relationship Type="http://schemas.openxmlformats.org/officeDocument/2006/relationships/hyperlink" Target="https://instagram.com/barotoronto" TargetMode="External" Id="rId181" /><Relationship Type="http://schemas.openxmlformats.org/officeDocument/2006/relationships/hyperlink" Target="https://barotoronto.com/" TargetMode="External" Id="rId182" /><Relationship Type="http://schemas.openxmlformats.org/officeDocument/2006/relationships/hyperlink" Target="https://www.bridgettebar.com/" TargetMode="External" Id="rId183" /><Relationship Type="http://schemas.openxmlformats.org/officeDocument/2006/relationships/hyperlink" Target="https://instagram.com/thebridgettebar" TargetMode="External" Id="rId184" /><Relationship Type="http://schemas.openxmlformats.org/officeDocument/2006/relationships/hyperlink" Target="https://www.opentable.com.au/r/bridgette-bar-toronto" TargetMode="External" Id="rId185" /><Relationship Type="http://schemas.openxmlformats.org/officeDocument/2006/relationships/hyperlink" Target="https://buca.ca/" TargetMode="External" Id="rId186" /><Relationship Type="http://schemas.openxmlformats.org/officeDocument/2006/relationships/hyperlink" Target="https://instagram.com/bucatoronto" TargetMode="External" Id="rId187" /><Relationship Type="http://schemas.openxmlformats.org/officeDocument/2006/relationships/hyperlink" Target="https://buca.ca/" TargetMode="External" Id="rId188" /><Relationship Type="http://schemas.openxmlformats.org/officeDocument/2006/relationships/hyperlink" Target="https://campechano.ca/" TargetMode="External" Id="rId189" /><Relationship Type="http://schemas.openxmlformats.org/officeDocument/2006/relationships/hyperlink" Target="https://campechano.ca/" TargetMode="External" Id="rId190" /><Relationship Type="http://schemas.openxmlformats.org/officeDocument/2006/relationships/hyperlink" Target="https://www.cassiusonking.com/" TargetMode="External" Id="rId191" /><Relationship Type="http://schemas.openxmlformats.org/officeDocument/2006/relationships/hyperlink" Target="https://instagram.com/cassiusonking" TargetMode="External" Id="rId192" /><Relationship Type="http://schemas.openxmlformats.org/officeDocument/2006/relationships/hyperlink" Target="https://www.cassiusonking.com/" TargetMode="External" Id="rId193" /><Relationship Type="http://schemas.openxmlformats.org/officeDocument/2006/relationships/hyperlink" Target="https://chubbysjamaican.com/" TargetMode="External" Id="rId194" /><Relationship Type="http://schemas.openxmlformats.org/officeDocument/2006/relationships/hyperlink" Target="https://instagram.com/chubbysjamaican" TargetMode="External" Id="rId195" /><Relationship Type="http://schemas.openxmlformats.org/officeDocument/2006/relationships/hyperlink" Target="https://www.opentable.ca/r/chubbys-jamaican-kitchen-toronto" TargetMode="External" Id="rId196" /><Relationship Type="http://schemas.openxmlformats.org/officeDocument/2006/relationships/hyperlink" Target="https://www.edulisrestaurant.com/" TargetMode="External" Id="rId197" /><Relationship Type="http://schemas.openxmlformats.org/officeDocument/2006/relationships/hyperlink" Target="https://www.edulisrestaurant.com/" TargetMode="External" Id="rId198" /><Relationship Type="http://schemas.openxmlformats.org/officeDocument/2006/relationships/hyperlink" Target="https://www.gusto101.com/" TargetMode="External" Id="rId199" /><Relationship Type="http://schemas.openxmlformats.org/officeDocument/2006/relationships/hyperlink" Target="https://www.opentable.ca/gusto-101-reservations-toronto" TargetMode="External" Id="rId200" /><Relationship Type="http://schemas.openxmlformats.org/officeDocument/2006/relationships/hyperlink" Target="https://honeychineseto.com/" TargetMode="External" Id="rId201" /><Relationship Type="http://schemas.openxmlformats.org/officeDocument/2006/relationships/hyperlink" Target="https://instagram.com/honeychineseto" TargetMode="External" Id="rId202" /><Relationship Type="http://schemas.openxmlformats.org/officeDocument/2006/relationships/hyperlink" Target="https://penthousequeen.com/blog/the-corner-where-king-west-is-arguing-with-itself" TargetMode="External" Id="rId203" /><Relationship Type="http://schemas.openxmlformats.org/officeDocument/2006/relationships/hyperlink" Target="https://www.laplumebrasserie.com/" TargetMode="External" Id="rId204" /><Relationship Type="http://schemas.openxmlformats.org/officeDocument/2006/relationships/hyperlink" Target="https://instagram.com/laplumebrasserie" TargetMode="External" Id="rId205" /><Relationship Type="http://schemas.openxmlformats.org/officeDocument/2006/relationships/hyperlink" Target="https://www.laplumebrasserie.com/" TargetMode="External" Id="rId206" /><Relationship Type="http://schemas.openxmlformats.org/officeDocument/2006/relationships/hyperlink" Target="https://laissezfairetoronto.com/" TargetMode="External" Id="rId207" /><Relationship Type="http://schemas.openxmlformats.org/officeDocument/2006/relationships/hyperlink" Target="https://instagram.com/laissezfairetoronto" TargetMode="External" Id="rId208" /><Relationship Type="http://schemas.openxmlformats.org/officeDocument/2006/relationships/hyperlink" Target="https://www.opentable.ca/r/laissez-faire-toronto" TargetMode="External" Id="rId209" /><Relationship Type="http://schemas.openxmlformats.org/officeDocument/2006/relationships/hyperlink" Target="https://www.opentable.ca/r/le-select-bistro-toronto" TargetMode="External" Id="rId210" /><Relationship Type="http://schemas.openxmlformats.org/officeDocument/2006/relationships/hyperlink" Target="https://littlebaba.com/" TargetMode="External" Id="rId211" /><Relationship Type="http://schemas.openxmlformats.org/officeDocument/2006/relationships/hyperlink" Target="https://instagram.com/littlebaba.to" TargetMode="External" Id="rId212" /><Relationship Type="http://schemas.openxmlformats.org/officeDocument/2006/relationships/hyperlink" Target="https://littlebaba.com/" TargetMode="External" Id="rId213" /><Relationship Type="http://schemas.openxmlformats.org/officeDocument/2006/relationships/hyperlink" Target="http://mademoiselleto.com/" TargetMode="External" Id="rId214" /><Relationship Type="http://schemas.openxmlformats.org/officeDocument/2006/relationships/hyperlink" Target="https://instagram.com/mademoiselleto" TargetMode="External" Id="rId215" /><Relationship Type="http://schemas.openxmlformats.org/officeDocument/2006/relationships/hyperlink" Target="http://mademoiselleto.com/" TargetMode="External" Id="rId216" /><Relationship Type="http://schemas.openxmlformats.org/officeDocument/2006/relationships/hyperlink" Target="https://misslikklemores.com/" TargetMode="External" Id="rId217" /><Relationship Type="http://schemas.openxmlformats.org/officeDocument/2006/relationships/hyperlink" Target="https://streetsoftoronto.com/restaurant/miss-likklemores/" TargetMode="External" Id="rId218" /><Relationship Type="http://schemas.openxmlformats.org/officeDocument/2006/relationships/hyperlink" Target="https://mythrestaurant.com/" TargetMode="External" Id="rId219" /><Relationship Type="http://schemas.openxmlformats.org/officeDocument/2006/relationships/hyperlink" Target="https://www.opentable.ca/restaurant/profile/1184893" TargetMode="External" Id="rId220" /><Relationship Type="http://schemas.openxmlformats.org/officeDocument/2006/relationships/hyperlink" Target="https://www.noyaatoronto.com/" TargetMode="External" Id="rId221" /><Relationship Type="http://schemas.openxmlformats.org/officeDocument/2006/relationships/hyperlink" Target="https://instagram.com/noyaatoronto" TargetMode="External" Id="rId222" /><Relationship Type="http://schemas.openxmlformats.org/officeDocument/2006/relationships/hyperlink" Target="https://www.noyaatoronto.com/" TargetMode="External" Id="rId223" /><Relationship Type="http://schemas.openxmlformats.org/officeDocument/2006/relationships/hyperlink" Target="https://www.oretta.to/" TargetMode="External" Id="rId224" /><Relationship Type="http://schemas.openxmlformats.org/officeDocument/2006/relationships/hyperlink" Target="https://instagram.com/orettatoronto" TargetMode="External" Id="rId225" /><Relationship Type="http://schemas.openxmlformats.org/officeDocument/2006/relationships/hyperlink" Target="https://www.oretta.to/" TargetMode="External" Id="rId226" /><Relationship Type="http://schemas.openxmlformats.org/officeDocument/2006/relationships/hyperlink" Target="https://primadonnatoronto.com/" TargetMode="External" Id="rId227" /><Relationship Type="http://schemas.openxmlformats.org/officeDocument/2006/relationships/hyperlink" Target="https://instagram.com/primadonnato" TargetMode="External" Id="rId228" /><Relationship Type="http://schemas.openxmlformats.org/officeDocument/2006/relationships/hyperlink" Target="https://penthousequeen.com/blog/the-corner-where-king-west-is-arguing-with-itself" TargetMode="External" Id="rId229" /><Relationship Type="http://schemas.openxmlformats.org/officeDocument/2006/relationships/hyperlink" Target="https://www.public-gardens.com/" TargetMode="External" Id="rId230" /><Relationship Type="http://schemas.openxmlformats.org/officeDocument/2006/relationships/hyperlink" Target="https://instagram.com/publicgardenstoronto" TargetMode="External" Id="rId231" /><Relationship Type="http://schemas.openxmlformats.org/officeDocument/2006/relationships/hyperlink" Target="https://www.public-gardens.com/" TargetMode="External" Id="rId232" /><Relationship Type="http://schemas.openxmlformats.org/officeDocument/2006/relationships/hyperlink" Target="https://rodneysoysterhouse.com/" TargetMode="External" Id="rId233" /><Relationship Type="http://schemas.openxmlformats.org/officeDocument/2006/relationships/hyperlink" Target="https://instagram.com/rodneysoysterhouse" TargetMode="External" Id="rId234" /><Relationship Type="http://schemas.openxmlformats.org/officeDocument/2006/relationships/hyperlink" Target="https://rodneysoysterhouse.com/" TargetMode="External" Id="rId235" /><Relationship Type="http://schemas.openxmlformats.org/officeDocument/2006/relationships/hyperlink" Target="https://www.sara.restaurant/" TargetMode="External" Id="rId236" /><Relationship Type="http://schemas.openxmlformats.org/officeDocument/2006/relationships/hyperlink" Target="https://instagram.com/sararestaurantto" TargetMode="External" Id="rId237" /><Relationship Type="http://schemas.openxmlformats.org/officeDocument/2006/relationships/hyperlink" Target="https://penthousequeen.com/blog/the-corner-where-king-west-is-arguing-with-itself" TargetMode="External" Id="rId238" /><Relationship Type="http://schemas.openxmlformats.org/officeDocument/2006/relationships/hyperlink" Target="https://www.thedorsetwellington.com/" TargetMode="External" Id="rId239" /><Relationship Type="http://schemas.openxmlformats.org/officeDocument/2006/relationships/hyperlink" Target="https://instagram.com/thedorset.to" TargetMode="External" Id="rId240" /><Relationship Type="http://schemas.openxmlformats.org/officeDocument/2006/relationships/hyperlink" Target="https://www.thedorsetwellington.com/" TargetMode="External" Id="rId241" /><Relationship Type="http://schemas.openxmlformats.org/officeDocument/2006/relationships/hyperlink" Target="https://vinnytoronto.com/" TargetMode="External" Id="rId242" /><Relationship Type="http://schemas.openxmlformats.org/officeDocument/2006/relationships/hyperlink" Target="https://instagram.com/vinny.toronto" TargetMode="External" Id="rId243" /><Relationship Type="http://schemas.openxmlformats.org/officeDocument/2006/relationships/hyperlink" Target="https://www.blogto.com/eat_drink/2025/07/vinny-vinyl-bar-toronto" TargetMode="External" Id="rId244" /><Relationship Type="http://schemas.openxmlformats.org/officeDocument/2006/relationships/hyperlink" Target="https://restolavenue.ca/" TargetMode="External" Id="rId245" /><Relationship Type="http://schemas.openxmlformats.org/officeDocument/2006/relationships/hyperlink" Target="https://instagram.com/lavenueresto" TargetMode="External" Id="rId246" /><Relationship Type="http://schemas.openxmlformats.org/officeDocument/2006/relationships/hyperlink" Target="https://restolavenue.ca/accueil" TargetMode="External" Id="rId247" /><Relationship Type="http://schemas.openxmlformats.org/officeDocument/2006/relationships/hyperlink" Target="https://penthousequeen.com/blog/the-corner-where-king-west-is-arguing-with-itself" TargetMode="External" Id="rId248" /><Relationship Type="http://schemas.openxmlformats.org/officeDocument/2006/relationships/hyperlink" Target="https://hellodemello.com/" TargetMode="External" Id="rId249" /><Relationship Type="http://schemas.openxmlformats.org/officeDocument/2006/relationships/hyperlink" Target="https://instagram.com/demellocoffee" TargetMode="External" Id="rId250" /><Relationship Type="http://schemas.openxmlformats.org/officeDocument/2006/relationships/hyperlink" Target="https://thewelltoronto.com/directory/de-mello-coffee" TargetMode="External" Id="rId251" /><Relationship Type="http://schemas.openxmlformats.org/officeDocument/2006/relationships/hyperlink" Target="https://nonnicafe.ca/" TargetMode="External" Id="rId252" /><Relationship Type="http://schemas.openxmlformats.org/officeDocument/2006/relationships/hyperlink" Target="https://instagram.com/nonni.to" TargetMode="External" Id="rId253" /><Relationship Type="http://schemas.openxmlformats.org/officeDocument/2006/relationships/hyperlink" Target="https://nonnicafe.ca/" TargetMode="External" Id="rId254" /><Relationship Type="http://schemas.openxmlformats.org/officeDocument/2006/relationships/hyperlink" Target="https://curiocity.com/aire-ancient-baths-toronto-now-open/" TargetMode="External" Id="rId255" /><Relationship Type="http://schemas.openxmlformats.org/officeDocument/2006/relationships/hyperlink" Target="https://hammamspa.ca/" TargetMode="External" Id="rId256" /><Relationship Type="http://schemas.openxmlformats.org/officeDocument/2006/relationships/hyperlink" Target="https://instagram.com/hammamspa" TargetMode="External" Id="rId257" /><Relationship Type="http://schemas.openxmlformats.org/officeDocument/2006/relationships/hyperlink" Target="https://curiocity.com/best-spas-toronto-city-escape/" TargetMode="External" Id="rId258" /><Relationship Type="http://schemas.openxmlformats.org/officeDocument/2006/relationships/hyperlink" Target="https://www.othership.us/adelaide" TargetMode="External" Id="rId259" /><Relationship Type="http://schemas.openxmlformats.org/officeDocument/2006/relationships/hyperlink" Target="https://instagram.com/othership" TargetMode="External" Id="rId260" /><Relationship Type="http://schemas.openxmlformats.org/officeDocument/2006/relationships/hyperlink" Target="https://www.othership.us/adelaide" TargetMode="External" Id="rId261" /><Relationship Type="http://schemas.openxmlformats.org/officeDocument/2006/relationships/hyperlink" Target="https://pureandsimple.ca/" TargetMode="External" Id="rId262" /><Relationship Type="http://schemas.openxmlformats.org/officeDocument/2006/relationships/hyperlink" Target="https://instagram.com/pureandsimpleca" TargetMode="External" Id="rId263" /><Relationship Type="http://schemas.openxmlformats.org/officeDocument/2006/relationships/hyperlink" Target="https://pureandsimple.ca/pages/locations" TargetMode="External" Id="rId264" /><Relationship Type="http://schemas.openxmlformats.org/officeDocument/2006/relationships/hyperlink" Target="https://trovewellbeing.com/" TargetMode="External" Id="rId265" /><Relationship Type="http://schemas.openxmlformats.org/officeDocument/2006/relationships/hyperlink" Target="https://curiocity.com/toronto-wellness-studios-ontario/" TargetMode="External" Id="rId266" /><Relationship Type="http://schemas.openxmlformats.org/officeDocument/2006/relationships/hyperlink" Target="https://alteaactive.com/clubs/liberty-village" TargetMode="External" Id="rId267" /><Relationship Type="http://schemas.openxmlformats.org/officeDocument/2006/relationships/hyperlink" Target="https://alteaactive.com/clubs/liberty-village" TargetMode="External" Id="rId268" /><Relationship Type="http://schemas.openxmlformats.org/officeDocument/2006/relationships/hyperlink" Target="https://www.corestudio.ca/" TargetMode="External" Id="rId269" /><Relationship Type="http://schemas.openxmlformats.org/officeDocument/2006/relationships/hyperlink" Target="https://instagram.com/corepilatesacademy" TargetMode="External" Id="rId270" /><Relationship Type="http://schemas.openxmlformats.org/officeDocument/2006/relationships/hyperlink" Target="https://www.corestudio.ca/" TargetMode="External" Id="rId271" /><Relationship Type="http://schemas.openxmlformats.org/officeDocument/2006/relationships/hyperlink" Target="https://kardiaathletica.com/" TargetMode="External" Id="rId272" /><Relationship Type="http://schemas.openxmlformats.org/officeDocument/2006/relationships/hyperlink" Target="https://instagram.com/kardiaathletica" TargetMode="External" Id="rId273" /><Relationship Type="http://schemas.openxmlformats.org/officeDocument/2006/relationships/hyperlink" Target="https://kardiaathletica.com/" TargetMode="External" Id="rId274" /><Relationship Type="http://schemas.openxmlformats.org/officeDocument/2006/relationships/hyperlink" Target="https://lsdrstudios.com/" TargetMode="External" Id="rId275" /><Relationship Type="http://schemas.openxmlformats.org/officeDocument/2006/relationships/hyperlink" Target="https://instagram.com/lsdrstudios" TargetMode="External" Id="rId276" /><Relationship Type="http://schemas.openxmlformats.org/officeDocument/2006/relationships/hyperlink" Target="https://curiocity.com/lsdr-new-fitness-studio-toronto/" TargetMode="External" Id="rId277" /><Relationship Type="http://schemas.openxmlformats.org/officeDocument/2006/relationships/hyperlink" Target="https://www.pureyogatoronto.com/" TargetMode="External" Id="rId278" /><Relationship Type="http://schemas.openxmlformats.org/officeDocument/2006/relationships/hyperlink" Target="https://www.pureyogatoronto.com/" TargetMode="External" Id="rId279" /><Relationship Type="http://schemas.openxmlformats.org/officeDocument/2006/relationships/hyperlink" Target="https://www.solismovement.ca/" TargetMode="External" Id="rId280" /><Relationship Type="http://schemas.openxmlformats.org/officeDocument/2006/relationships/hyperlink" Target="https://instagram.com/solis.movement" TargetMode="External" Id="rId281" /><Relationship Type="http://schemas.openxmlformats.org/officeDocument/2006/relationships/hyperlink" Target="https://www.solismovement.ca/" TargetMode="External" Id="rId282" /><Relationship Type="http://schemas.openxmlformats.org/officeDocument/2006/relationships/hyperlink" Target="https://spokehaus.ca/" TargetMode="External" Id="rId283" /><Relationship Type="http://schemas.openxmlformats.org/officeDocument/2006/relationships/hyperlink" Target="https://instagram.com/spokehaus" TargetMode="External" Id="rId284" /><Relationship Type="http://schemas.openxmlformats.org/officeDocument/2006/relationships/hyperlink" Target="https://spokehaus.ca/" TargetMode="External" Id="rId285" /><Relationship Type="http://schemas.openxmlformats.org/officeDocument/2006/relationships/hyperlink" Target="https://sweatandtonic.com/" TargetMode="External" Id="rId286" /><Relationship Type="http://schemas.openxmlformats.org/officeDocument/2006/relationships/hyperlink" Target="https://instagram.com/sweatandtonic" TargetMode="External" Id="rId287" /><Relationship Type="http://schemas.openxmlformats.org/officeDocument/2006/relationships/hyperlink" Target="https://sweatandtonic.com/" TargetMode="External" Id="rId288" /><Relationship Type="http://schemas.openxmlformats.org/officeDocument/2006/relationships/hyperlink" Target="https://acehotel.com/toronto/" TargetMode="External" Id="rId289" /><Relationship Type="http://schemas.openxmlformats.org/officeDocument/2006/relationships/hyperlink" Target="https://instagram.com/acehoteltoronto" TargetMode="External" Id="rId290" /><Relationship Type="http://schemas.openxmlformats.org/officeDocument/2006/relationships/hyperlink" Target="https://acehotel.com/toronto/" TargetMode="External" Id="rId291" /><Relationship Type="http://schemas.openxmlformats.org/officeDocument/2006/relationships/hyperlink" Target="https://hotelxtoronto.com/" TargetMode="External" Id="rId292" /><Relationship Type="http://schemas.openxmlformats.org/officeDocument/2006/relationships/hyperlink" Target="https://instagram.com/hotelxtoronto" TargetMode="External" Id="rId293" /><Relationship Type="http://schemas.openxmlformats.org/officeDocument/2006/relationships/hyperlink" Target="https://curiocity.com/best-hotel-spa-guerlain-toronto-2026/" TargetMode="External" Id="rId294" /><Relationship Type="http://schemas.openxmlformats.org/officeDocument/2006/relationships/hyperlink" Target="https://www.43downtoronto.ca/" TargetMode="External" Id="rId295" /><Relationship Type="http://schemas.openxmlformats.org/officeDocument/2006/relationships/hyperlink" Target="https://instagram.com/43downtoronto" TargetMode="External" Id="rId296" /><Relationship Type="http://schemas.openxmlformats.org/officeDocument/2006/relationships/hyperlink" Target="https://www.43downtoronto.ca/" TargetMode="External" Id="rId297" /><Relationship Type="http://schemas.openxmlformats.org/officeDocument/2006/relationships/hyperlink" Target="https://thealobar.com/alobar-downtown/" TargetMode="External" Id="rId298" /><Relationship Type="http://schemas.openxmlformats.org/officeDocument/2006/relationships/hyperlink" Target="https://instagram.com/alobarrestaurants" TargetMode="External" Id="rId299" /><Relationship Type="http://schemas.openxmlformats.org/officeDocument/2006/relationships/hyperlink" Target="https://thealobar.com/alobar-downtown/" TargetMode="External" Id="rId300" /><Relationship Type="http://schemas.openxmlformats.org/officeDocument/2006/relationships/hyperlink" Target="https://www.eatamano.com/" TargetMode="External" Id="rId301" /><Relationship Type="http://schemas.openxmlformats.org/officeDocument/2006/relationships/hyperlink" Target="https://instagram.com/eat.amano" TargetMode="External" Id="rId302" /><Relationship Type="http://schemas.openxmlformats.org/officeDocument/2006/relationships/hyperlink" Target="https://www.eatamano.com/" TargetMode="External" Id="rId303" /><Relationship Type="http://schemas.openxmlformats.org/officeDocument/2006/relationships/hyperlink" Target="https://barfilo.ca/" TargetMode="External" Id="rId304" /><Relationship Type="http://schemas.openxmlformats.org/officeDocument/2006/relationships/hyperlink" Target="https://www.blogto.com/eat_drink/2025/09/bar-filo-toronto" TargetMode="External" Id="rId305" /><Relationship Type="http://schemas.openxmlformats.org/officeDocument/2006/relationships/hyperlink" Target="http://www.bardis.com/" TargetMode="External" Id="rId306" /><Relationship Type="http://schemas.openxmlformats.org/officeDocument/2006/relationships/hyperlink" Target="https://instagram.com/bardissteakhouse" TargetMode="External" Id="rId307" /><Relationship Type="http://schemas.openxmlformats.org/officeDocument/2006/relationships/hyperlink" Target="http://www.bardis.com/" TargetMode="External" Id="rId308" /><Relationship Type="http://schemas.openxmlformats.org/officeDocument/2006/relationships/hyperlink" Target="https://www.bindia.ca/" TargetMode="External" Id="rId309" /><Relationship Type="http://schemas.openxmlformats.org/officeDocument/2006/relationships/hyperlink" Target="https://www.bindia.ca/" TargetMode="External" Id="rId310" /><Relationship Type="http://schemas.openxmlformats.org/officeDocument/2006/relationships/hyperlink" Target="https://www.bluebovine.com/" TargetMode="External" Id="rId311" /><Relationship Type="http://schemas.openxmlformats.org/officeDocument/2006/relationships/hyperlink" Target="https://instagram.com/bluebovine" TargetMode="External" Id="rId312" /><Relationship Type="http://schemas.openxmlformats.org/officeDocument/2006/relationships/hyperlink" Target="https://torontolife.com/food/whats-on-the-menu-at-blue-bovine-union-station-financial-district-steak-sushi/" TargetMode="External" Id="rId313" /><Relationship Type="http://schemas.openxmlformats.org/officeDocument/2006/relationships/hyperlink" Target="http://www.bymark.ca/" TargetMode="External" Id="rId314" /><Relationship Type="http://schemas.openxmlformats.org/officeDocument/2006/relationships/hyperlink" Target="https://www.opentable.com/bymark" TargetMode="External" Id="rId315" /><Relationship Type="http://schemas.openxmlformats.org/officeDocument/2006/relationships/hyperlink" Target="https://www.canoerestaurant.com/" TargetMode="External" Id="rId316" /><Relationship Type="http://schemas.openxmlformats.org/officeDocument/2006/relationships/hyperlink" Target="https://instagram.com/canoerestaurant" TargetMode="External" Id="rId317" /><Relationship Type="http://schemas.openxmlformats.org/officeDocument/2006/relationships/hyperlink" Target="https://www.canoerestaurant.com/" TargetMode="External" Id="rId318" /><Relationship Type="http://schemas.openxmlformats.org/officeDocument/2006/relationships/hyperlink" Target="https://daphnetoronto.com/" TargetMode="External" Id="rId319" /><Relationship Type="http://schemas.openxmlformats.org/officeDocument/2006/relationships/hyperlink" Target="https://instagram.com/daphnetoronto" TargetMode="External" Id="rId320" /><Relationship Type="http://schemas.openxmlformats.org/officeDocument/2006/relationships/hyperlink" Target="https://daphnetoronto.com/" TargetMode="External" Id="rId321" /><Relationship Type="http://schemas.openxmlformats.org/officeDocument/2006/relationships/hyperlink" Target="https://ednavita.com/" TargetMode="External" Id="rId322" /><Relationship Type="http://schemas.openxmlformats.org/officeDocument/2006/relationships/hyperlink" Target="https://instagram.com/edna_vita" TargetMode="External" Id="rId323" /><Relationship Type="http://schemas.openxmlformats.org/officeDocument/2006/relationships/hyperlink" Target="https://ednavita.com/menu/" TargetMode="External" Id="rId324" /><Relationship Type="http://schemas.openxmlformats.org/officeDocument/2006/relationships/hyperlink" Target="https://eloiserestaurant.ca/" TargetMode="External" Id="rId325" /><Relationship Type="http://schemas.openxmlformats.org/officeDocument/2006/relationships/hyperlink" Target="https://www.blogto.com/restaurants/eloise-toronto/" TargetMode="External" Id="rId326" /><Relationship Type="http://schemas.openxmlformats.org/officeDocument/2006/relationships/hyperlink" Target="https://florintrattoria.com/" TargetMode="External" Id="rId327" /><Relationship Type="http://schemas.openxmlformats.org/officeDocument/2006/relationships/hyperlink" Target="https://instagram.com/florin.to" TargetMode="External" Id="rId328" /><Relationship Type="http://schemas.openxmlformats.org/officeDocument/2006/relationships/hyperlink" Target="https://florintrattoria.com/" TargetMode="External" Id="rId329" /><Relationship Type="http://schemas.openxmlformats.org/officeDocument/2006/relationships/hyperlink" Target="https://www.frenchytoronto.com/" TargetMode="External" Id="rId330" /><Relationship Type="http://schemas.openxmlformats.org/officeDocument/2006/relationships/hyperlink" Target="https://instagram.com/frenchytoronto" TargetMode="External" Id="rId331" /><Relationship Type="http://schemas.openxmlformats.org/officeDocument/2006/relationships/hyperlink" Target="https://www.frenchytoronto.com/" TargetMode="External" Id="rId332" /><Relationship Type="http://schemas.openxmlformats.org/officeDocument/2006/relationships/hyperlink" Target="https://www.kijapanese.com/" TargetMode="External" Id="rId333" /><Relationship Type="http://schemas.openxmlformats.org/officeDocument/2006/relationships/hyperlink" Target="https://instagram.com/kijapanese" TargetMode="External" Id="rId334" /><Relationship Type="http://schemas.openxmlformats.org/officeDocument/2006/relationships/hyperlink" Target="https://www.kijapanese.com/" TargetMode="External" Id="rId335" /><Relationship Type="http://schemas.openxmlformats.org/officeDocument/2006/relationships/hyperlink" Target="https://www.terroni.com/" TargetMode="External" Id="rId336" /><Relationship Type="http://schemas.openxmlformats.org/officeDocument/2006/relationships/hyperlink" Target="https://instagram.com/terroni.to" TargetMode="External" Id="rId337" /><Relationship Type="http://schemas.openxmlformats.org/officeDocument/2006/relationships/hyperlink" Target="https://www.terroni.com/" TargetMode="External" Id="rId338" /><Relationship Type="http://schemas.openxmlformats.org/officeDocument/2006/relationships/hyperlink" Target="https://laylak.ca/" TargetMode="External" Id="rId339" /><Relationship Type="http://schemas.openxmlformats.org/officeDocument/2006/relationships/hyperlink" Target="https://www.opentable.com/r/laylak-lebanese-cuisine-toronto" TargetMode="External" Id="rId340" /><Relationship Type="http://schemas.openxmlformats.org/officeDocument/2006/relationships/hyperlink" Target="https://www.lenarestaurante.com/" TargetMode="External" Id="rId341" /><Relationship Type="http://schemas.openxmlformats.org/officeDocument/2006/relationships/hyperlink" Target="https://instagram.com/lenarestaurante" TargetMode="External" Id="rId342" /><Relationship Type="http://schemas.openxmlformats.org/officeDocument/2006/relationships/hyperlink" Target="https://www.lenarestaurante.com/" TargetMode="External" Id="rId343" /><Relationship Type="http://schemas.openxmlformats.org/officeDocument/2006/relationships/hyperlink" Target="https://www.littleanthonys.ca/" TargetMode="External" Id="rId344" /><Relationship Type="http://schemas.openxmlformats.org/officeDocument/2006/relationships/hyperlink" Target="https://instagram.com/littleanthonys.ca" TargetMode="External" Id="rId345" /><Relationship Type="http://schemas.openxmlformats.org/officeDocument/2006/relationships/hyperlink" Target="https://www.littleanthonys.ca/" TargetMode="External" Id="rId346" /><Relationship Type="http://schemas.openxmlformats.org/officeDocument/2006/relationships/hyperlink" Target="https://www.louixlouis.com/" TargetMode="External" Id="rId347" /><Relationship Type="http://schemas.openxmlformats.org/officeDocument/2006/relationships/hyperlink" Target="https://instagram.com/louixlouis" TargetMode="External" Id="rId348" /><Relationship Type="http://schemas.openxmlformats.org/officeDocument/2006/relationships/hyperlink" Target="https://www.louixlouis.com/" TargetMode="External" Id="rId349" /><Relationship Type="http://schemas.openxmlformats.org/officeDocument/2006/relationships/hyperlink" Target="https://restaurantlucie.com/" TargetMode="External" Id="rId350" /><Relationship Type="http://schemas.openxmlformats.org/officeDocument/2006/relationships/hyperlink" Target="https://instagram.com/restaurantlucie" TargetMode="External" Id="rId351" /><Relationship Type="http://schemas.openxmlformats.org/officeDocument/2006/relationships/hyperlink" Target="https://restaurantlucie.com/summerlicious" TargetMode="External" Id="rId352" /><Relationship Type="http://schemas.openxmlformats.org/officeDocument/2006/relationships/hyperlink" Target="https://www.pizzerialibretto.com/" TargetMode="External" Id="rId353" /><Relationship Type="http://schemas.openxmlformats.org/officeDocument/2006/relationships/hyperlink" Target="https://instagram.com/pizzerialibretto" TargetMode="External" Id="rId354" /><Relationship Type="http://schemas.openxmlformats.org/officeDocument/2006/relationships/hyperlink" Target="https://www.pizzerialibretto.com/" TargetMode="External" Id="rId355" /><Relationship Type="http://schemas.openxmlformats.org/officeDocument/2006/relationships/hyperlink" Target="https://richmondstation.ca/" TargetMode="External" Id="rId356" /><Relationship Type="http://schemas.openxmlformats.org/officeDocument/2006/relationships/hyperlink" Target="https://richmondstation.ca/" TargetMode="External" Id="rId357" /><Relationship Type="http://schemas.openxmlformats.org/officeDocument/2006/relationships/hyperlink" Target="https://sammarco.ca/" TargetMode="External" Id="rId358" /><Relationship Type="http://schemas.openxmlformats.org/officeDocument/2006/relationships/hyperlink" Target="https://sammarco.ca/" TargetMode="External" Id="rId359" /><Relationship Type="http://schemas.openxmlformats.org/officeDocument/2006/relationships/hyperlink" Target="https://shinjijapanese.com/" TargetMode="External" Id="rId360" /><Relationship Type="http://schemas.openxmlformats.org/officeDocument/2006/relationships/hyperlink" Target="https://instagram.com/shinjijapanese" TargetMode="External" Id="rId361" /><Relationship Type="http://schemas.openxmlformats.org/officeDocument/2006/relationships/hyperlink" Target="https://shinjijapanese.com/" TargetMode="External" Id="rId362" /><Relationship Type="http://schemas.openxmlformats.org/officeDocument/2006/relationships/hyperlink" Target="https://sukhothaifood.ca/" TargetMode="External" Id="rId363" /><Relationship Type="http://schemas.openxmlformats.org/officeDocument/2006/relationships/hyperlink" Target="https://instagram.com/sukhothaifood" TargetMode="External" Id="rId364" /><Relationship Type="http://schemas.openxmlformats.org/officeDocument/2006/relationships/hyperlink" Target="https://sukhothaifood.ca/" TargetMode="External" Id="rId365" /><Relationship Type="http://schemas.openxmlformats.org/officeDocument/2006/relationships/hyperlink" Target="https://sushiyugen.ca/" TargetMode="External" Id="rId366" /><Relationship Type="http://schemas.openxmlformats.org/officeDocument/2006/relationships/hyperlink" Target="https://instagram.com/sushiyugen.ca" TargetMode="External" Id="rId367" /><Relationship Type="http://schemas.openxmlformats.org/officeDocument/2006/relationships/hyperlink" Target="https://sushiyugen.ca/" TargetMode="External" Id="rId368" /><Relationship Type="http://schemas.openxmlformats.org/officeDocument/2006/relationships/hyperlink" Target="https://thefrederickto.com/" TargetMode="External" Id="rId369" /><Relationship Type="http://schemas.openxmlformats.org/officeDocument/2006/relationships/hyperlink" Target="https://instagram.com/thefrederickto" TargetMode="External" Id="rId370" /><Relationship Type="http://schemas.openxmlformats.org/officeDocument/2006/relationships/hyperlink" Target="https://thefrederickto.com/" TargetMode="External" Id="rId371" /><Relationship Type="http://schemas.openxmlformats.org/officeDocument/2006/relationships/hyperlink" Target="https://thejonesesrestaurant.com/" TargetMode="External" Id="rId372" /><Relationship Type="http://schemas.openxmlformats.org/officeDocument/2006/relationships/hyperlink" Target="https://instagram.com/thejonesesrestaurant" TargetMode="External" Id="rId373" /><Relationship Type="http://schemas.openxmlformats.org/officeDocument/2006/relationships/hyperlink" Target="https://thejonesesrestaurant.com/" TargetMode="External" Id="rId374" /><Relationship Type="http://schemas.openxmlformats.org/officeDocument/2006/relationships/hyperlink" Target="https://www.tocarestaurant.com/" TargetMode="External" Id="rId375" /><Relationship Type="http://schemas.openxmlformats.org/officeDocument/2006/relationships/hyperlink" Target="https://instagram.com/tocatoronto" TargetMode="External" Id="rId376" /><Relationship Type="http://schemas.openxmlformats.org/officeDocument/2006/relationships/hyperlink" Target="https://www.tocarestaurant.com/" TargetMode="External" Id="rId377" /><Relationship Type="http://schemas.openxmlformats.org/officeDocument/2006/relationships/hyperlink" Target="https://www.volos.ca/" TargetMode="External" Id="rId378" /><Relationship Type="http://schemas.openxmlformats.org/officeDocument/2006/relationships/hyperlink" Target="https://instagram.com/volos.ca" TargetMode="External" Id="rId379" /><Relationship Type="http://schemas.openxmlformats.org/officeDocument/2006/relationships/hyperlink" Target="https://www.volos.ca/" TargetMode="External" Id="rId380" /><Relationship Type="http://schemas.openxmlformats.org/officeDocument/2006/relationships/hyperlink" Target="https://breadycafe.com/" TargetMode="External" Id="rId381" /><Relationship Type="http://schemas.openxmlformats.org/officeDocument/2006/relationships/hyperlink" Target="https://instagram.com/breadycafe" TargetMode="External" Id="rId382" /><Relationship Type="http://schemas.openxmlformats.org/officeDocument/2006/relationships/hyperlink" Target="https://breadycafe.com/" TargetMode="External" Id="rId383" /><Relationship Type="http://schemas.openxmlformats.org/officeDocument/2006/relationships/hyperlink" Target="https://dineencoffee.com/" TargetMode="External" Id="rId384" /><Relationship Type="http://schemas.openxmlformats.org/officeDocument/2006/relationships/hyperlink" Target="https://instagram.com/dineencoffeeco" TargetMode="External" Id="rId385" /><Relationship Type="http://schemas.openxmlformats.org/officeDocument/2006/relationships/hyperlink" Target="https://dineencoffee.com/" TargetMode="External" Id="rId386" /><Relationship Type="http://schemas.openxmlformats.org/officeDocument/2006/relationships/hyperlink" Target="https://unionhoteltoronto.com/humble-donkey/" TargetMode="External" Id="rId387" /><Relationship Type="http://schemas.openxmlformats.org/officeDocument/2006/relationships/hyperlink" Target="https://instagram.com/humbledonkeyto" TargetMode="External" Id="rId388" /><Relationship Type="http://schemas.openxmlformats.org/officeDocument/2006/relationships/hyperlink" Target="https://unionhoteltoronto.com/humble-donkey/" TargetMode="External" Id="rId389" /><Relationship Type="http://schemas.openxmlformats.org/officeDocument/2006/relationships/hyperlink" Target="https://www.elmwoodspa.com/" TargetMode="External" Id="rId390" /><Relationship Type="http://schemas.openxmlformats.org/officeDocument/2006/relationships/hyperlink" Target="https://instagram.com/elmwoodspa" TargetMode="External" Id="rId391" /><Relationship Type="http://schemas.openxmlformats.org/officeDocument/2006/relationships/hyperlink" Target="https://curiocity.com/best-spas-toronto-city-escape/" TargetMode="External" Id="rId392" /><Relationship Type="http://schemas.openxmlformats.org/officeDocument/2006/relationships/hyperlink" Target="https://www.sweetgrassspa.ca/" TargetMode="External" Id="rId393" /><Relationship Type="http://schemas.openxmlformats.org/officeDocument/2006/relationships/hyperlink" Target="https://instagram.com/sweetgrassspa" TargetMode="External" Id="rId394" /><Relationship Type="http://schemas.openxmlformats.org/officeDocument/2006/relationships/hyperlink" Target="https://www.sweetgrassspa.ca/" TargetMode="External" Id="rId395" /><Relationship Type="http://schemas.openxmlformats.org/officeDocument/2006/relationships/hyperlink" Target="https://sweatandtonic.com/pages/spa" TargetMode="External" Id="rId396" /><Relationship Type="http://schemas.openxmlformats.org/officeDocument/2006/relationships/hyperlink" Target="https://instagram.com/sweatandtonic" TargetMode="External" Id="rId397" /><Relationship Type="http://schemas.openxmlformats.org/officeDocument/2006/relationships/hyperlink" Target="https://curiocity.com/toronto-wellness-studios-ontario/" TargetMode="External" Id="rId398" /><Relationship Type="http://schemas.openxmlformats.org/officeDocument/2006/relationships/hyperlink" Target="https://behotyogatoronto.com/" TargetMode="External" Id="rId399" /><Relationship Type="http://schemas.openxmlformats.org/officeDocument/2006/relationships/hyperlink" Target="https://instagram.com/behotyogatoronto" TargetMode="External" Id="rId400" /><Relationship Type="http://schemas.openxmlformats.org/officeDocument/2006/relationships/hyperlink" Target="https://behotyogatoronto.com/" TargetMode="External" Id="rId401" /><Relationship Type="http://schemas.openxmlformats.org/officeDocument/2006/relationships/hyperlink" Target="https://sweatandtonic.com/" TargetMode="External" Id="rId402" /><Relationship Type="http://schemas.openxmlformats.org/officeDocument/2006/relationships/hyperlink" Target="https://instagram.com/sweatandtonic" TargetMode="External" Id="rId403" /><Relationship Type="http://schemas.openxmlformats.org/officeDocument/2006/relationships/hyperlink" Target="https://sweatandtonic.com/" TargetMode="External" Id="rId404" /><Relationship Type="http://schemas.openxmlformats.org/officeDocument/2006/relationships/hyperlink" Target="https://mirajhammamtoronto.com/" TargetMode="External" Id="rId405" /><Relationship Type="http://schemas.openxmlformats.org/officeDocument/2006/relationships/hyperlink" Target="https://instagram.com/mirajhammamspa" TargetMode="External" Id="rId406" /><Relationship Type="http://schemas.openxmlformats.org/officeDocument/2006/relationships/hyperlink" Target="https://mirajhammamtoronto.com/" TargetMode="External" Id="rId407" /><Relationship Type="http://schemas.openxmlformats.org/officeDocument/2006/relationships/hyperlink" Target="https://www.omnihotels.com/hotels/toronto-king-edward/wellness" TargetMode="External" Id="rId408" /><Relationship Type="http://schemas.openxmlformats.org/officeDocument/2006/relationships/hyperlink" Target="https://omnihotels.com/hotels/toronto-king-edward/wellness" TargetMode="External" Id="rId409" /><Relationship Type="http://schemas.openxmlformats.org/officeDocument/2006/relationships/hyperlink" Target="https://spamyblendtoronto.com/" TargetMode="External" Id="rId410" /><Relationship Type="http://schemas.openxmlformats.org/officeDocument/2006/relationships/hyperlink" Target="https://curiocity.com/toronto-spas-massages-facials/" TargetMode="External" Id="rId411" /><Relationship Type="http://schemas.openxmlformats.org/officeDocument/2006/relationships/hyperlink" Target="https://www.marriott.com/en-us/hotels/yyzxr-the-st-regis-toronto/spa/" TargetMode="External" Id="rId412" /><Relationship Type="http://schemas.openxmlformats.org/officeDocument/2006/relationships/hyperlink" Target="https://marriott.com/en-us/hotels/yyzxr-the-st-regis-toronto/spa" TargetMode="External" Id="rId413" /><Relationship Type="http://schemas.openxmlformats.org/officeDocument/2006/relationships/hyperlink" Target="https://aburihana.com" TargetMode="External" Id="rId414" /><Relationship Type="http://schemas.openxmlformats.org/officeDocument/2006/relationships/hyperlink" Target="https://instagram.com/hanayorkville" TargetMode="External" Id="rId415" /><Relationship Type="http://schemas.openxmlformats.org/officeDocument/2006/relationships/hyperlink" Target="https://aburihana.com" TargetMode="External" Id="rId416" /><Relationship Type="http://schemas.openxmlformats.org/officeDocument/2006/relationships/hyperlink" Target="https://www.adrakyorkville.ca" TargetMode="External" Id="rId417" /><Relationship Type="http://schemas.openxmlformats.org/officeDocument/2006/relationships/hyperlink" Target="https://instagram.com/adrakyorkville" TargetMode="External" Id="rId418" /><Relationship Type="http://schemas.openxmlformats.org/officeDocument/2006/relationships/hyperlink" Target="https://www.michelin.com/en/publications/products-and-services/the-michelin-guide-2026-toronto" TargetMode="External" Id="rId419" /><Relationship Type="http://schemas.openxmlformats.org/officeDocument/2006/relationships/hyperlink" Target="https://alobaryorkville.com" TargetMode="External" Id="rId420" /><Relationship Type="http://schemas.openxmlformats.org/officeDocument/2006/relationships/hyperlink" Target="https://instagram.com/alobarrestaurants" TargetMode="External" Id="rId421" /><Relationship Type="http://schemas.openxmlformats.org/officeDocument/2006/relationships/hyperlink" Target="https://www.michelin.com/en/publications/products-and-services/the-michelin-guide-2026-toronto" TargetMode="External" Id="rId422" /><Relationship Type="http://schemas.openxmlformats.org/officeDocument/2006/relationships/hyperlink" Target="https://www.amaltoronto.com" TargetMode="External" Id="rId423" /><Relationship Type="http://schemas.openxmlformats.org/officeDocument/2006/relationships/hyperlink" Target="https://www.amaltoronto.com" TargetMode="External" Id="rId424" /><Relationship Type="http://schemas.openxmlformats.org/officeDocument/2006/relationships/hyperlink" Target="https://buca.ca" TargetMode="External" Id="rId425" /><Relationship Type="http://schemas.openxmlformats.org/officeDocument/2006/relationships/hyperlink" Target="https://instagram.com/bucatoronto" TargetMode="External" Id="rId426" /><Relationship Type="http://schemas.openxmlformats.org/officeDocument/2006/relationships/hyperlink" Target="https://www.buca.ca/yorkville" TargetMode="External" Id="rId427" /><Relationship Type="http://schemas.openxmlformats.org/officeDocument/2006/relationships/hyperlink" Target="https://www.cafeboulud.com/toronto" TargetMode="External" Id="rId428" /><Relationship Type="http://schemas.openxmlformats.org/officeDocument/2006/relationships/hyperlink" Target="https://instagram.com/cafebouludto" TargetMode="External" Id="rId429" /><Relationship Type="http://schemas.openxmlformats.org/officeDocument/2006/relationships/hyperlink" Target="https://www.cafeboulud.com/toronto" TargetMode="External" Id="rId430" /><Relationship Type="http://schemas.openxmlformats.org/officeDocument/2006/relationships/hyperlink" Target="https://tastet.ca/en/news/michelin-guide-toronto-2026-all-the-award-winners/" TargetMode="External" Id="rId431" /><Relationship Type="http://schemas.openxmlformats.org/officeDocument/2006/relationships/hyperlink" Target="https://josos.com" TargetMode="External" Id="rId432" /><Relationship Type="http://schemas.openxmlformats.org/officeDocument/2006/relationships/hyperlink" Target="https://instagram.com/jososrestaurant" TargetMode="External" Id="rId433" /><Relationship Type="http://schemas.openxmlformats.org/officeDocument/2006/relationships/hyperlink" Target="https://josos.com" TargetMode="External" Id="rId434" /><Relationship Type="http://schemas.openxmlformats.org/officeDocument/2006/relationships/hyperlink" Target="https://www.kasamoto.ca" TargetMode="External" Id="rId435" /><Relationship Type="http://schemas.openxmlformats.org/officeDocument/2006/relationships/hyperlink" Target="https://instagram.com/kasa_moto" TargetMode="External" Id="rId436" /><Relationship Type="http://schemas.openxmlformats.org/officeDocument/2006/relationships/hyperlink" Target="https://www.kasamoto.ca" TargetMode="External" Id="rId437" /><Relationship Type="http://schemas.openxmlformats.org/officeDocument/2006/relationships/hyperlink" Target="https://www.opentable.ca/koko-share-bar?lang=fr-ca" TargetMode="External" Id="rId438" /><Relationship Type="http://schemas.openxmlformats.org/officeDocument/2006/relationships/hyperlink" Target="https://www.blogto.com/eat_drink/2025/07/maraa-yorkville-toronto/" TargetMode="External" Id="rId439" /><Relationship Type="http://schemas.openxmlformats.org/officeDocument/2006/relationships/hyperlink" Target="https://tastet.ca/en/reviews/mimi-chinese-one-of-our-favourite-chinese-restaurants-in-toronto/?region=qc" TargetMode="External" Id="rId440" /><Relationship Type="http://schemas.openxmlformats.org/officeDocument/2006/relationships/hyperlink" Target="https://museumtavern.ca" TargetMode="External" Id="rId441" /><Relationship Type="http://schemas.openxmlformats.org/officeDocument/2006/relationships/hyperlink" Target="https://museumtavern.ca" TargetMode="External" Id="rId442" /><Relationship Type="http://schemas.openxmlformats.org/officeDocument/2006/relationships/hyperlink" Target="https://onerestaurant.ca" TargetMode="External" Id="rId443" /><Relationship Type="http://schemas.openxmlformats.org/officeDocument/2006/relationships/hyperlink" Target="https://onerestaurant.ca" TargetMode="External" Id="rId444" /><Relationship Type="http://schemas.openxmlformats.org/officeDocument/2006/relationships/hyperlink" Target="https://www.opusrestaurant.com" TargetMode="External" Id="rId445" /><Relationship Type="http://schemas.openxmlformats.org/officeDocument/2006/relationships/hyperlink" Target="https://www.opusrestaurant.com" TargetMode="External" Id="rId446" /><Relationship Type="http://schemas.openxmlformats.org/officeDocument/2006/relationships/hyperlink" Target="https://osteriagiulia.ca" TargetMode="External" Id="rId447" /><Relationship Type="http://schemas.openxmlformats.org/officeDocument/2006/relationships/hyperlink" Target="https://instagram.com/osteriagiulia" TargetMode="External" Id="rId448" /><Relationship Type="http://schemas.openxmlformats.org/officeDocument/2006/relationships/hyperlink" Target="https://tastet.ca/en/news/michelin-guide-toronto-2026-all-the-award-winners/" TargetMode="External" Id="rId449" /><Relationship Type="http://schemas.openxmlformats.org/officeDocument/2006/relationships/hyperlink" Target="https://www.playacabana.ca" TargetMode="External" Id="rId450" /><Relationship Type="http://schemas.openxmlformats.org/officeDocument/2006/relationships/hyperlink" Target="https://instagram.com/playacabana" TargetMode="External" Id="rId451" /><Relationship Type="http://schemas.openxmlformats.org/officeDocument/2006/relationships/hyperlink" Target="https://www.playacabana.ca" TargetMode="External" Id="rId452" /><Relationship Type="http://schemas.openxmlformats.org/officeDocument/2006/relationships/hyperlink" Target="https://streetsoftoronto.com/food/restaurants/the-best-new-restaurants-in-yorkville/" TargetMode="External" Id="rId453" /><Relationship Type="http://schemas.openxmlformats.org/officeDocument/2006/relationships/hyperlink" Target="https://sottosotto.ca" TargetMode="External" Id="rId454" /><Relationship Type="http://schemas.openxmlformats.org/officeDocument/2006/relationships/hyperlink" Target="https://instagram.com/sottosotto" TargetMode="External" Id="rId455" /><Relationship Type="http://schemas.openxmlformats.org/officeDocument/2006/relationships/hyperlink" Target="https://sottosotto.ca" TargetMode="External" Id="rId456" /><Relationship Type="http://schemas.openxmlformats.org/officeDocument/2006/relationships/hyperlink" Target="https://sassafraz.ca" TargetMode="External" Id="rId457" /><Relationship Type="http://schemas.openxmlformats.org/officeDocument/2006/relationships/hyperlink" Target="https://instagram.com/thesassafraz" TargetMode="External" Id="rId458" /><Relationship Type="http://schemas.openxmlformats.org/officeDocument/2006/relationships/hyperlink" Target="https://sassafraz.ca" TargetMode="External" Id="rId459" /><Relationship Type="http://schemas.openxmlformats.org/officeDocument/2006/relationships/hyperlink" Target="https://sofiayorkville.com" TargetMode="External" Id="rId460" /><Relationship Type="http://schemas.openxmlformats.org/officeDocument/2006/relationships/hyperlink" Target="https://instagram.com/sofiayorkville" TargetMode="External" Id="rId461" /><Relationship Type="http://schemas.openxmlformats.org/officeDocument/2006/relationships/hyperlink" Target="https://sofiayorkville.com" TargetMode="External" Id="rId462" /><Relationship Type="http://schemas.openxmlformats.org/officeDocument/2006/relationships/hyperlink" Target="https://tastet.ca/en/news/michelin-guide-toronto-2026-all-the-award-winners/" TargetMode="External" Id="rId463" /><Relationship Type="http://schemas.openxmlformats.org/officeDocument/2006/relationships/hyperlink" Target="https://theoxley.com" TargetMode="External" Id="rId464" /><Relationship Type="http://schemas.openxmlformats.org/officeDocument/2006/relationships/hyperlink" Target="https://instagram.com/theoxleyto" TargetMode="External" Id="rId465" /><Relationship Type="http://schemas.openxmlformats.org/officeDocument/2006/relationships/hyperlink" Target="https://theoxley.com" TargetMode="External" Id="rId466" /><Relationship Type="http://schemas.openxmlformats.org/officeDocument/2006/relationships/hyperlink" Target="https://fieramoscatoronto.ca" TargetMode="External" Id="rId467" /><Relationship Type="http://schemas.openxmlformats.org/officeDocument/2006/relationships/hyperlink" Target="https://fieramoscatoronto.ca" TargetMode="External" Id="rId468" /><Relationship Type="http://schemas.openxmlformats.org/officeDocument/2006/relationships/hyperlink" Target="https://www.eatnervosa.com" TargetMode="External" Id="rId469" /><Relationship Type="http://schemas.openxmlformats.org/officeDocument/2006/relationships/hyperlink" Target="https://instagram.com/nervosato" TargetMode="External" Id="rId470" /><Relationship Type="http://schemas.openxmlformats.org/officeDocument/2006/relationships/hyperlink" Target="https://opentable.com/r/trattoria-nervosa-toronto" TargetMode="External" Id="rId471" /><Relationship Type="http://schemas.openxmlformats.org/officeDocument/2006/relationships/hyperlink" Target="https://www.stephaniedickison.com/articles/open-closed-toronto-gta-restaurant-news-october-1-7-2026" TargetMode="External" Id="rId472" /><Relationship Type="http://schemas.openxmlformats.org/officeDocument/2006/relationships/hyperlink" Target="https://www.blogto.com/eat_drink/2026/05/moms-recipes-restaurant-toronto/" TargetMode="External" Id="rId473" /><Relationship Type="http://schemas.openxmlformats.org/officeDocument/2006/relationships/hyperlink" Target="https://www.blogto.com/cafes/cafe-rosarium-toronto/" TargetMode="External" Id="rId474" /><Relationship Type="http://schemas.openxmlformats.org/officeDocument/2006/relationships/hyperlink" Target="https://dessertlady.ca" TargetMode="External" Id="rId475" /><Relationship Type="http://schemas.openxmlformats.org/officeDocument/2006/relationships/hyperlink" Target="https://www.dessertlady.ca/contact" TargetMode="External" Id="rId476" /><Relationship Type="http://schemas.openxmlformats.org/officeDocument/2006/relationships/hyperlink" Target="https://www.gillasalonandspa.com/" TargetMode="External" Id="rId477" /><Relationship Type="http://schemas.openxmlformats.org/officeDocument/2006/relationships/hyperlink" Target="https://instagram.com/gillaspa" TargetMode="External" Id="rId478" /><Relationship Type="http://schemas.openxmlformats.org/officeDocument/2006/relationships/hyperlink" Target="https://www.gillasalonandspa.com/" TargetMode="External" Id="rId479" /><Relationship Type="http://schemas.openxmlformats.org/officeDocument/2006/relationships/hyperlink" Target="https://www.othership.us/yorkville" TargetMode="External" Id="rId480" /><Relationship Type="http://schemas.openxmlformats.org/officeDocument/2006/relationships/hyperlink" Target="https://instagram.com/othership" TargetMode="External" Id="rId481" /><Relationship Type="http://schemas.openxmlformats.org/officeDocument/2006/relationships/hyperlink" Target="https://curiocity.com/toronto-wellness-studios-ontario/" TargetMode="External" Id="rId482" /><Relationship Type="http://schemas.openxmlformats.org/officeDocument/2006/relationships/hyperlink" Target="https://souslaface.com/" TargetMode="External" Id="rId483" /><Relationship Type="http://schemas.openxmlformats.org/officeDocument/2006/relationships/hyperlink" Target="https://instagram.com/souslaface" TargetMode="External" Id="rId484" /><Relationship Type="http://schemas.openxmlformats.org/officeDocument/2006/relationships/hyperlink" Target="https://souslaface.com/" TargetMode="External" Id="rId485" /><Relationship Type="http://schemas.openxmlformats.org/officeDocument/2006/relationships/hyperlink" Target="https://thefixfacialbar.com/" TargetMode="External" Id="rId486" /><Relationship Type="http://schemas.openxmlformats.org/officeDocument/2006/relationships/hyperlink" Target="https://instagram.com/thefixfacialbar" TargetMode="External" Id="rId487" /><Relationship Type="http://schemas.openxmlformats.org/officeDocument/2006/relationships/hyperlink" Target="https://curiocity.com/toronto-spas-massages-facials/" TargetMode="External" Id="rId488" /><Relationship Type="http://schemas.openxmlformats.org/officeDocument/2006/relationships/hyperlink" Target="https://iamyoga.ca/" TargetMode="External" Id="rId489" /><Relationship Type="http://schemas.openxmlformats.org/officeDocument/2006/relationships/hyperlink" Target="https://instagram.com/iamyogapilates" TargetMode="External" Id="rId490" /><Relationship Type="http://schemas.openxmlformats.org/officeDocument/2006/relationships/hyperlink" Target="https://iamyoga.ca/" TargetMode="External" Id="rId491" /><Relationship Type="http://schemas.openxmlformats.org/officeDocument/2006/relationships/hyperlink" Target="https://www.mindfulmovementcentre.com/" TargetMode="External" Id="rId492" /><Relationship Type="http://schemas.openxmlformats.org/officeDocument/2006/relationships/hyperlink" Target="https://instagram.com/mindfulmovementcentre" TargetMode="External" Id="rId493" /><Relationship Type="http://schemas.openxmlformats.org/officeDocument/2006/relationships/hyperlink" Target="https://www.mindfulmovementcentre.com/" TargetMode="External" Id="rId494" /><Relationship Type="http://schemas.openxmlformats.org/officeDocument/2006/relationships/hyperlink" Target="https://sweatandtonic.com/" TargetMode="External" Id="rId495" /><Relationship Type="http://schemas.openxmlformats.org/officeDocument/2006/relationships/hyperlink" Target="https://instagram.com/sweatandtonic" TargetMode="External" Id="rId496" /><Relationship Type="http://schemas.openxmlformats.org/officeDocument/2006/relationships/hyperlink" Target="https://curiocity.com/sweat-and-tonic-yorkville-toronto-opening/" TargetMode="External" Id="rId497" /><Relationship Type="http://schemas.openxmlformats.org/officeDocument/2006/relationships/hyperlink" Target="https://www.fourseasons.com/toronto/spa/" TargetMode="External" Id="rId498" /><Relationship Type="http://schemas.openxmlformats.org/officeDocument/2006/relationships/hyperlink" Target="https://curiocity.com/best-spas-toronto-city-escape/" TargetMode="External" Id="rId499" /><Relationship Type="http://schemas.openxmlformats.org/officeDocument/2006/relationships/hyperlink" Target="https://www.hyatt.com/en-US/spas/Stillwater-Spa-Toronto/home" TargetMode="External" Id="rId500" /><Relationship Type="http://schemas.openxmlformats.org/officeDocument/2006/relationships/hyperlink" Target="https://www.hyatt.com/en-US/spas/Stillwater-Spa-Toronto/home" TargetMode="External" Id="rId501" /><Relationship Type="http://schemas.openxmlformats.org/officeDocument/2006/relationships/hyperlink" Target="https://www.thehazeltonhotel.com/" TargetMode="External" Id="rId502" /><Relationship Type="http://schemas.openxmlformats.org/officeDocument/2006/relationships/hyperlink" Target="https://instagram.com/hazeltonTO" TargetMode="External" Id="rId503" /><Relationship Type="http://schemas.openxmlformats.org/officeDocument/2006/relationships/hyperlink" Target="https://www.thehazeltonhotel.com/" TargetMode="External" Id="rId504" /><Relationship Type="http://schemas.openxmlformats.org/officeDocument/2006/relationships/hyperlink" Target="https://windsorarmshotel.com/" TargetMode="External" Id="rId505" /><Relationship Type="http://schemas.openxmlformats.org/officeDocument/2006/relationships/hyperlink" Target="https://instagram.com/windsorarms" TargetMode="External" Id="rId506" /><Relationship Type="http://schemas.openxmlformats.org/officeDocument/2006/relationships/hyperlink" Target="https://windsorarmshotel.com/" TargetMode="External" Id="rId507" /><Relationship Type="http://schemas.openxmlformats.org/officeDocument/2006/relationships/hyperlink" Target="https://tastetoronto.substack.com/p/punch-opens-two-thai-spots-land-queen" TargetMode="External" Id="rId508" /><Relationship Type="http://schemas.openxmlformats.org/officeDocument/2006/relationships/hyperlink" Target="https://avling.ca" TargetMode="External" Id="rId509" /><Relationship Type="http://schemas.openxmlformats.org/officeDocument/2006/relationships/hyperlink" Target="https://instagram.com/avlingto" TargetMode="External" Id="rId510" /><Relationship Type="http://schemas.openxmlformats.org/officeDocument/2006/relationships/hyperlink" Target="https://avling.ca" TargetMode="External" Id="rId511" /><Relationship Type="http://schemas.openxmlformats.org/officeDocument/2006/relationships/hyperlink" Target="https://www.blogto.com/eat_drink/2025/12/corduroy-lounge-toronto" TargetMode="External" Id="rId512" /><Relationship Type="http://schemas.openxmlformats.org/officeDocument/2006/relationships/hyperlink" Target="https://descendantdsp.com" TargetMode="External" Id="rId513" /><Relationship Type="http://schemas.openxmlformats.org/officeDocument/2006/relationships/hyperlink" Target="https://instagram.com/descendant_pizza" TargetMode="External" Id="rId514" /><Relationship Type="http://schemas.openxmlformats.org/officeDocument/2006/relationships/hyperlink" Target="https://descendantdsp.com" TargetMode="External" Id="rId515" /><Relationship Type="http://schemas.openxmlformats.org/officeDocument/2006/relationships/hyperlink" Target="https://eastsidesocial.ca" TargetMode="External" Id="rId516" /><Relationship Type="http://schemas.openxmlformats.org/officeDocument/2006/relationships/hyperlink" Target="https://instagram.com/eastside_social" TargetMode="External" Id="rId517" /><Relationship Type="http://schemas.openxmlformats.org/officeDocument/2006/relationships/hyperlink" Target="https://eastsidesocial.ca" TargetMode="External" Id="rId518" /><Relationship Type="http://schemas.openxmlformats.org/officeDocument/2006/relationships/hyperlink" Target="https://www.eatbkk.ca" TargetMode="External" Id="rId519" /><Relationship Type="http://schemas.openxmlformats.org/officeDocument/2006/relationships/hyperlink" Target="https://instagram.com/eatbkkto" TargetMode="External" Id="rId520" /><Relationship Type="http://schemas.openxmlformats.org/officeDocument/2006/relationships/hyperlink" Target="https://www.eatbkk.ca" TargetMode="External" Id="rId521" /><Relationship Type="http://schemas.openxmlformats.org/officeDocument/2006/relationships/hyperlink" Target="https://elcazo.ca" TargetMode="External" Id="rId522" /><Relationship Type="http://schemas.openxmlformats.org/officeDocument/2006/relationships/hyperlink" Target="https://instagram.com/elcazo.ca" TargetMode="External" Id="rId523" /><Relationship Type="http://schemas.openxmlformats.org/officeDocument/2006/relationships/hyperlink" Target="https://leslieville.com/new-businesses-in-leslieville-riverside-riverdale-danforth-east/" TargetMode="External" Id="rId524" /><Relationship Type="http://schemas.openxmlformats.org/officeDocument/2006/relationships/hyperlink" Target="https://fangio.ca" TargetMode="External" Id="rId525" /><Relationship Type="http://schemas.openxmlformats.org/officeDocument/2006/relationships/hyperlink" Target="https://www.blogto.com/eat_drink/2025/10/italian-restaurants-toronto-october-2025/" TargetMode="External" Id="rId526" /><Relationship Type="http://schemas.openxmlformats.org/officeDocument/2006/relationships/hyperlink" Target="https://streetsoftoronto.com/food/the-true-story-behind-this-beloved-toronto-restaurant-and-its-iconic-nose-sculpture/" TargetMode="External" Id="rId527" /><Relationship Type="http://schemas.openxmlformats.org/officeDocument/2006/relationships/hyperlink" Target="https://leslieville.com/new-businesses-in-leslieville-riverside-riverdale-danforth-east/" TargetMode="External" Id="rId528" /><Relationship Type="http://schemas.openxmlformats.org/officeDocument/2006/relationships/hyperlink" Target="https://lapaella.ca" TargetMode="External" Id="rId529" /><Relationship Type="http://schemas.openxmlformats.org/officeDocument/2006/relationships/hyperlink" Target="https://instagram.com/lapaella_leslieville" TargetMode="External" Id="rId530" /><Relationship Type="http://schemas.openxmlformats.org/officeDocument/2006/relationships/hyperlink" Target="https://lapaella.ca" TargetMode="External" Id="rId531" /><Relationship Type="http://schemas.openxmlformats.org/officeDocument/2006/relationships/hyperlink" Target="https://leslieville.com/new-businesses-in-leslieville-riverside-riverdale-danforth-east/" TargetMode="External" Id="rId532" /><Relationship Type="http://schemas.openxmlformats.org/officeDocument/2006/relationships/hyperlink" Target="https://marubistro.com" TargetMode="External" Id="rId533" /><Relationship Type="http://schemas.openxmlformats.org/officeDocument/2006/relationships/hyperlink" Target="https://www.torontotourism.org/leslieville-beaches-toronto/" TargetMode="External" Id="rId534" /><Relationship Type="http://schemas.openxmlformats.org/officeDocument/2006/relationships/hyperlink" Target="https://nodorestaurant.ca" TargetMode="External" Id="rId535" /><Relationship Type="http://schemas.openxmlformats.org/officeDocument/2006/relationships/hyperlink" Target="https://www.heapsestrin.com/listing/e13034338-1192-queen-street-e-toronto-e01-on-m4m-1l4/" TargetMode="External" Id="rId536" /><Relationship Type="http://schemas.openxmlformats.org/officeDocument/2006/relationships/hyperlink" Target="https://nolaeateryandbar.com" TargetMode="External" Id="rId537" /><Relationship Type="http://schemas.openxmlformats.org/officeDocument/2006/relationships/hyperlink" Target="https://nolaeateryandbar.com" TargetMode="External" Id="rId538" /><Relationship Type="http://schemas.openxmlformats.org/officeDocument/2006/relationships/hyperlink" Target="https://rickyandolivia.com" TargetMode="External" Id="rId539" /><Relationship Type="http://schemas.openxmlformats.org/officeDocument/2006/relationships/hyperlink" Target="https://tastet.ca/en/news/michelin-guide-toronto-2026-all-the-award-winners/" TargetMode="External" Id="rId540" /><Relationship Type="http://schemas.openxmlformats.org/officeDocument/2006/relationships/hyperlink" Target="https://tabule.ca" TargetMode="External" Id="rId541" /><Relationship Type="http://schemas.openxmlformats.org/officeDocument/2006/relationships/hyperlink" Target="https://www.opentable.ie/tabule-on-queen" TargetMode="External" Id="rId542" /><Relationship Type="http://schemas.openxmlformats.org/officeDocument/2006/relationships/hyperlink" Target="https://www.ramonaskitchen.ca" TargetMode="External" Id="rId543" /><Relationship Type="http://schemas.openxmlformats.org/officeDocument/2006/relationships/hyperlink" Target="https://instagram.com/ramonaskitchenca" TargetMode="External" Id="rId544" /><Relationship Type="http://schemas.openxmlformats.org/officeDocument/2006/relationships/hyperlink" Target="https://www.ramonaskitchen.ca" TargetMode="External" Id="rId545" /><Relationship Type="http://schemas.openxmlformats.org/officeDocument/2006/relationships/hyperlink" Target="https://instagram.com/tatsurostoronto" TargetMode="External" Id="rId546" /><Relationship Type="http://schemas.openxmlformats.org/officeDocument/2006/relationships/hyperlink" Target="https://www.blogto.com/eat_drink/2025/05/new-brunch-toronto/" TargetMode="External" Id="rId547" /><Relationship Type="http://schemas.openxmlformats.org/officeDocument/2006/relationships/hyperlink" Target="https://streetsoftoronto.com/food/restaurants/your-next-favourite-sandwich-shop-just-opened-in-toronto" TargetMode="External" Id="rId548" /><Relationship Type="http://schemas.openxmlformats.org/officeDocument/2006/relationships/hyperlink" Target="https://beachmetro.com/2025/06/27/new-kidultland-cafe-brings-playful-taste-of-korea-to-leslieville/" TargetMode="External" Id="rId549" /><Relationship Type="http://schemas.openxmlformats.org/officeDocument/2006/relationships/hyperlink" Target="https://masadeli.ca" TargetMode="External" Id="rId550" /><Relationship Type="http://schemas.openxmlformats.org/officeDocument/2006/relationships/hyperlink" Target="https://instagram.com/masadeli.ca" TargetMode="External" Id="rId551" /><Relationship Type="http://schemas.openxmlformats.org/officeDocument/2006/relationships/hyperlink" Target="https://www.blogto.com/restaurants/masadeli-leslieville-toronto/" TargetMode="External" Id="rId552" /><Relationship Type="http://schemas.openxmlformats.org/officeDocument/2006/relationships/hyperlink" Target="https://www.torontotourism.org/leslieville-beaches-toronto/" TargetMode="External" Id="rId553" /><Relationship Type="http://schemas.openxmlformats.org/officeDocument/2006/relationships/hyperlink" Target="https://www.pilotcoffeeroasters.com" TargetMode="External" Id="rId554" /><Relationship Type="http://schemas.openxmlformats.org/officeDocument/2006/relationships/hyperlink" Target="https://instagram.com/pilotcoffee" TargetMode="External" Id="rId555" /><Relationship Type="http://schemas.openxmlformats.org/officeDocument/2006/relationships/hyperlink" Target="https://www.torontotourism.org/leslieville-beaches-toronto/" TargetMode="External" Id="rId556" /><Relationship Type="http://schemas.openxmlformats.org/officeDocument/2006/relationships/hyperlink" Target="https://purplepenguincafe.square.site" TargetMode="External" Id="rId557" /><Relationship Type="http://schemas.openxmlformats.org/officeDocument/2006/relationships/hyperlink" Target="https://www.torontotourism.org/leslieville-beaches-toronto/" TargetMode="External" Id="rId558" /><Relationship Type="http://schemas.openxmlformats.org/officeDocument/2006/relationships/hyperlink" Target="https://bobbetteandbelle.com" TargetMode="External" Id="rId559" /><Relationship Type="http://schemas.openxmlformats.org/officeDocument/2006/relationships/hyperlink" Target="https://instagram.com/bobbetteandbelle" TargetMode="External" Id="rId560" /><Relationship Type="http://schemas.openxmlformats.org/officeDocument/2006/relationships/hyperlink" Target="https://bobbetteandbelle.com" TargetMode="External" Id="rId561" /><Relationship Type="http://schemas.openxmlformats.org/officeDocument/2006/relationships/hyperlink" Target="https://www.johnsonfamilybakery.ca" TargetMode="External" Id="rId562" /><Relationship Type="http://schemas.openxmlformats.org/officeDocument/2006/relationships/hyperlink" Target="https://blogto.com/eat_drink/2025/01/man-pride-flag-toronto-bakery" TargetMode="External" Id="rId563" /><Relationship Type="http://schemas.openxmlformats.org/officeDocument/2006/relationships/hyperlink" Target="https://www.alterwellness.ca/" TargetMode="External" Id="rId564" /><Relationship Type="http://schemas.openxmlformats.org/officeDocument/2006/relationships/hyperlink" Target="https://instagram.com/alter.toronto" TargetMode="External" Id="rId565" /><Relationship Type="http://schemas.openxmlformats.org/officeDocument/2006/relationships/hyperlink" Target="https://curiocity.com/toronto-wellness-studios-ontario/" TargetMode="External" Id="rId566" /><Relationship Type="http://schemas.openxmlformats.org/officeDocument/2006/relationships/hyperlink" Target="https://blitzfacialbar.com/" TargetMode="External" Id="rId567" /><Relationship Type="http://schemas.openxmlformats.org/officeDocument/2006/relationships/hyperlink" Target="https://instagram.com/blitzfacialbar" TargetMode="External" Id="rId568" /><Relationship Type="http://schemas.openxmlformats.org/officeDocument/2006/relationships/hyperlink" Target="https://curiocity.com/toronto-spas-massages-facials/" TargetMode="External" Id="rId569" /><Relationship Type="http://schemas.openxmlformats.org/officeDocument/2006/relationships/hyperlink" Target="https://bodyblitzspa.com/" TargetMode="External" Id="rId570" /><Relationship Type="http://schemas.openxmlformats.org/officeDocument/2006/relationships/hyperlink" Target="https://instagram.com/bodyblitzspa" TargetMode="External" Id="rId571" /><Relationship Type="http://schemas.openxmlformats.org/officeDocument/2006/relationships/hyperlink" Target="https://bodyblitzspa.com/" TargetMode="External" Id="rId572" /><Relationship Type="http://schemas.openxmlformats.org/officeDocument/2006/relationships/hyperlink" Target="https://medimap.ca/clinics/osteopaths/on/toronto/living-water-therapies" TargetMode="External" Id="rId573" /><Relationship Type="http://schemas.openxmlformats.org/officeDocument/2006/relationships/hyperlink" Target="https://scenebeauty.ca/" TargetMode="External" Id="rId574" /><Relationship Type="http://schemas.openxmlformats.org/officeDocument/2006/relationships/hyperlink" Target="https://instagram.com/thescenemedicalbeautybar" TargetMode="External" Id="rId575" /><Relationship Type="http://schemas.openxmlformats.org/officeDocument/2006/relationships/hyperlink" Target="https://curiocity.com/toronto-spas-massages-facials/" TargetMode="External" Id="rId576" /><Relationship Type="http://schemas.openxmlformats.org/officeDocument/2006/relationships/hyperlink" Target="https://www.chijunky.com/" TargetMode="External" Id="rId577" /><Relationship Type="http://schemas.openxmlformats.org/officeDocument/2006/relationships/hyperlink" Target="https://instagram.com/chi_junky" TargetMode="External" Id="rId578" /><Relationship Type="http://schemas.openxmlformats.org/officeDocument/2006/relationships/hyperlink" Target="https://www.chijunky.com/" TargetMode="External" Id="rId579" /><Relationship Type="http://schemas.openxmlformats.org/officeDocument/2006/relationships/hyperlink" Target="https://instagram.com/coco.reformer.pilates" TargetMode="External" Id="rId580" /><Relationship Type="http://schemas.openxmlformats.org/officeDocument/2006/relationships/hyperlink" Target="https://curiocity.com/coco-reformer-pilates-toronto-ontario/" TargetMode="External" Id="rId581" /><Relationship Type="http://schemas.openxmlformats.org/officeDocument/2006/relationships/hyperlink" Target="https://yourcoreworks.com/" TargetMode="External" Id="rId582" /><Relationship Type="http://schemas.openxmlformats.org/officeDocument/2006/relationships/hyperlink" Target="https://instagram.com/yourcoreworks" TargetMode="External" Id="rId583" /><Relationship Type="http://schemas.openxmlformats.org/officeDocument/2006/relationships/hyperlink" Target="https://yourcoreworks.com/" TargetMode="External" Id="rId584" /><Relationship Type="http://schemas.openxmlformats.org/officeDocument/2006/relationships/hyperlink" Target="https://instagram.com/galeriamovement" TargetMode="External" Id="rId585" /><Relationship Type="http://schemas.openxmlformats.org/officeDocument/2006/relationships/hyperlink" Target="https://ma.to/venue/galeriamovement" TargetMode="External" Id="rId586" /><Relationship Type="http://schemas.openxmlformats.org/officeDocument/2006/relationships/hyperlink" Target="https://www.risecycle.ca/" TargetMode="External" Id="rId587" /><Relationship Type="http://schemas.openxmlformats.org/officeDocument/2006/relationships/hyperlink" Target="https://instagram.com/risecycle" TargetMode="External" Id="rId588" /><Relationship Type="http://schemas.openxmlformats.org/officeDocument/2006/relationships/hyperlink" Target="https://www.risecycle.ca/" TargetMode="External" Id="rId589" /><Relationship Type="http://schemas.openxmlformats.org/officeDocument/2006/relationships/hyperlink" Target="https://setu.ca/" TargetMode="External" Id="rId590" /><Relationship Type="http://schemas.openxmlformats.org/officeDocument/2006/relationships/hyperlink" Target="https://setu.ca/" TargetMode="External" Id="rId591" /><Relationship Type="http://schemas.openxmlformats.org/officeDocument/2006/relationships/hyperlink" Target="https://www.extensionmethod.com/" TargetMode="External" Id="rId592" /><Relationship Type="http://schemas.openxmlformats.org/officeDocument/2006/relationships/hyperlink" Target="https://instagram.com/extensionroom" TargetMode="External" Id="rId593" /><Relationship Type="http://schemas.openxmlformats.org/officeDocument/2006/relationships/hyperlink" Target="https://www.extensionmethod.com/" TargetMode="External" Id="rId594" /><Relationship Type="http://schemas.openxmlformats.org/officeDocument/2006/relationships/hyperlink" Target="https://www.thebroadviewhotel.ca/" TargetMode="External" Id="rId595" /><Relationship Type="http://schemas.openxmlformats.org/officeDocument/2006/relationships/hyperlink" Target="https://instagram.com/broadviewhotel" TargetMode="External" Id="rId596" /><Relationship Type="http://schemas.openxmlformats.org/officeDocument/2006/relationships/hyperlink" Target="https://www.thebroadviewhotel.ca/" TargetMode="External" Id="rId597" /><Relationship Type="http://schemas.openxmlformats.org/officeDocument/2006/relationships/hyperlink" Target="https://aangantoronto.ca/" TargetMode="External" Id="rId598" /><Relationship Type="http://schemas.openxmlformats.org/officeDocument/2006/relationships/hyperlink" Target="https://www.instagram.com/aangantoronto/" TargetMode="External" Id="rId599" /><Relationship Type="http://schemas.openxmlformats.org/officeDocument/2006/relationships/hyperlink" Target="https://www.blogto.com/restaurants/aangan-toronto/" TargetMode="External" Id="rId600" /><Relationship Type="http://schemas.openxmlformats.org/officeDocument/2006/relationships/hyperlink" Target="https://barisabel.com/" TargetMode="External" Id="rId601" /><Relationship Type="http://schemas.openxmlformats.org/officeDocument/2006/relationships/hyperlink" Target="https://barisabel.com/" TargetMode="External" Id="rId602" /><Relationship Type="http://schemas.openxmlformats.org/officeDocument/2006/relationships/hyperlink" Target="https://catherinemortimer.ca/blog/the-address-swap-reading-college-streets-2026-turnover-one-storefront-at-a-time" TargetMode="External" Id="rId603" /><Relationship Type="http://schemas.openxmlformats.org/officeDocument/2006/relationships/hyperlink" Target="https://catherinemortimer.ca/blog/the-address-swap-reading-college-streets-2026-turnover-one-storefront-at-a-time" TargetMode="External" Id="rId604" /><Relationship Type="http://schemas.openxmlformats.org/officeDocument/2006/relationships/hyperlink" Target="https://www.instagram.com/conejonegro_to/" TargetMode="External" Id="rId605" /><Relationship Type="http://schemas.openxmlformats.org/officeDocument/2006/relationships/hyperlink" Target="https://www.destinationtoronto.com/restaurants/michelin/" TargetMode="External" Id="rId606" /><Relationship Type="http://schemas.openxmlformats.org/officeDocument/2006/relationships/hyperlink" Target="https://www.contradarestaurant.com/" TargetMode="External" Id="rId607" /><Relationship Type="http://schemas.openxmlformats.org/officeDocument/2006/relationships/hyperlink" Target="https://www.instagram.com/contrada.to/" TargetMode="External" Id="rId608" /><Relationship Type="http://schemas.openxmlformats.org/officeDocument/2006/relationships/hyperlink" Target="https://catherinemortimer.ca/blog/the-address-swap-reading-college-streets-2026-turnover-one-storefront-at-a-time" TargetMode="External" Id="rId609" /><Relationship Type="http://schemas.openxmlformats.org/officeDocument/2006/relationships/hyperlink" Target="https://www.dailoto.com/" TargetMode="External" Id="rId610" /><Relationship Type="http://schemas.openxmlformats.org/officeDocument/2006/relationships/hyperlink" Target="https://www.instagram.com/dailo.to/" TargetMode="External" Id="rId611" /><Relationship Type="http://schemas.openxmlformats.org/officeDocument/2006/relationships/hyperlink" Target="https://www.dailoto.com/" TargetMode="External" Id="rId612" /><Relationship Type="http://schemas.openxmlformats.org/officeDocument/2006/relationships/hyperlink" Target="https://www.danicotoronto.com/" TargetMode="External" Id="rId613" /><Relationship Type="http://schemas.openxmlformats.org/officeDocument/2006/relationships/hyperlink" Target="https://www.destinationtoronto.com/restaurants/michelin/" TargetMode="External" Id="rId614" /><Relationship Type="http://schemas.openxmlformats.org/officeDocument/2006/relationships/hyperlink" Target="https://nlginzburg.com/" TargetMode="External" Id="rId615" /><Relationship Type="http://schemas.openxmlformats.org/officeDocument/2006/relationships/hyperlink" Target="https://www.instagram.com/nlginzburg/" TargetMode="External" Id="rId616" /><Relationship Type="http://schemas.openxmlformats.org/officeDocument/2006/relationships/hyperlink" Target="https://www.blogto.com/restaurants/nl-ginzburg-toronto/" TargetMode="External" Id="rId617" /><Relationship Type="http://schemas.openxmlformats.org/officeDocument/2006/relationships/hyperlink" Target="https://catherinemortimer.ca/blog/the-address-swap-reading-college-streets-2026-turnover-one-storefront-at-a-time" TargetMode="External" Id="rId618" /><Relationship Type="http://schemas.openxmlformats.org/officeDocument/2006/relationships/hyperlink" Target="https://osteriaalba.ca/" TargetMode="External" Id="rId619" /><Relationship Type="http://schemas.openxmlformats.org/officeDocument/2006/relationships/hyperlink" Target="https://www.instagram.com/osteriaalbatoronto/" TargetMode="External" Id="rId620" /><Relationship Type="http://schemas.openxmlformats.org/officeDocument/2006/relationships/hyperlink" Target="https://catherinemortimer.ca/blog/the-address-swap-reading-college-streets-2026-turnover-one-storefront-at-a-time" TargetMode="External" Id="rId621" /><Relationship Type="http://schemas.openxmlformats.org/officeDocument/2006/relationships/hyperlink" Target="https://quetzaltoronto.com/" TargetMode="External" Id="rId622" /><Relationship Type="http://schemas.openxmlformats.org/officeDocument/2006/relationships/hyperlink" Target="https://www.instagram.com/quetzaltoronto/" TargetMode="External" Id="rId623" /><Relationship Type="http://schemas.openxmlformats.org/officeDocument/2006/relationships/hyperlink" Target="https://www.destinationtoronto.com/restaurants/michelin/" TargetMode="External" Id="rId624" /><Relationship Type="http://schemas.openxmlformats.org/officeDocument/2006/relationships/hyperlink" Target="https://radiciproject.ca/" TargetMode="External" Id="rId625" /><Relationship Type="http://schemas.openxmlformats.org/officeDocument/2006/relationships/hyperlink" Target="https://www.blogto.com/restaurants/radici-project/" TargetMode="External" Id="rId626" /><Relationship Type="http://schemas.openxmlformats.org/officeDocument/2006/relationships/hyperlink" Target="https://www.dinnerwithsal.com/menu" TargetMode="External" Id="rId627" /><Relationship Type="http://schemas.openxmlformats.org/officeDocument/2006/relationships/hyperlink" Target="https://catherinemortimer.ca/blog/the-address-swap-reading-college-streets-2026-turnover-one-storefront-at-a-time" TargetMode="External" Id="rId628" /><Relationship Type="http://schemas.openxmlformats.org/officeDocument/2006/relationships/hyperlink" Target="https://catherinemortimer.ca/blog/the-address-swap-reading-college-streets-2026-turnover-one-storefront-at-a-time" TargetMode="External" Id="rId629" /><Relationship Type="http://schemas.openxmlformats.org/officeDocument/2006/relationships/hyperlink" Target="https://www.takja.ca/" TargetMode="External" Id="rId630" /><Relationship Type="http://schemas.openxmlformats.org/officeDocument/2006/relationships/hyperlink" Target="https://www.instagram.com/takja_bbq/" TargetMode="External" Id="rId631" /><Relationship Type="http://schemas.openxmlformats.org/officeDocument/2006/relationships/hyperlink" Target="https://joinpearl.co/lists/michelin-guide-toronto-region-2026" TargetMode="External" Id="rId632" /><Relationship Type="http://schemas.openxmlformats.org/officeDocument/2006/relationships/hyperlink" Target="https://catherinemortimer.ca/blog/the-address-swap-reading-college-streets-2026-turnover-one-storefront-at-a-time" TargetMode="External" Id="rId633" /><Relationship Type="http://schemas.openxmlformats.org/officeDocument/2006/relationships/hyperlink" Target="http://zittozittotaverna.ca/" TargetMode="External" Id="rId634" /><Relationship Type="http://schemas.openxmlformats.org/officeDocument/2006/relationships/hyperlink" Target="https://catherinemortimer.ca/blog/the-address-swap-reading-college-streets-2026-turnover-one-storefront-at-a-time" TargetMode="External" Id="rId635" /><Relationship Type="http://schemas.openxmlformats.org/officeDocument/2006/relationships/hyperlink" Target="https://susiestoronto.com/" TargetMode="External" Id="rId636" /><Relationship Type="http://schemas.openxmlformats.org/officeDocument/2006/relationships/hyperlink" Target="https://www.instagram.com/susiestoronto/" TargetMode="External" Id="rId637" /><Relationship Type="http://schemas.openxmlformats.org/officeDocument/2006/relationships/hyperlink" Target="https://www.blogto.com/restaurants/susies-rise-and-dine-toronto/" TargetMode="External" Id="rId638" /><Relationship Type="http://schemas.openxmlformats.org/officeDocument/2006/relationships/hyperlink" Target="https://www.liuloqum.com/" TargetMode="External" Id="rId639" /><Relationship Type="http://schemas.openxmlformats.org/officeDocument/2006/relationships/hyperlink" Target="https://www.instagram.com/liuloqum/" TargetMode="External" Id="rId640" /><Relationship Type="http://schemas.openxmlformats.org/officeDocument/2006/relationships/hyperlink" Target="https://www.liuloqum.com/" TargetMode="External" Id="rId641" /><Relationship Type="http://schemas.openxmlformats.org/officeDocument/2006/relationships/hyperlink" Target="https://www.pompette.ca/" TargetMode="External" Id="rId642" /><Relationship Type="http://schemas.openxmlformats.org/officeDocument/2006/relationships/hyperlink" Target="https://catherinemortimer.ca/blog/the-address-swap-reading-college-streets-2026-turnover-one-storefront-at-a-time" TargetMode="External" Id="rId643" /><Relationship Type="http://schemas.openxmlformats.org/officeDocument/2006/relationships/hyperlink" Target="https://www.cafebelemto.ca/" TargetMode="External" Id="rId644" /><Relationship Type="http://schemas.openxmlformats.org/officeDocument/2006/relationships/hyperlink" Target="https://www.blogto.com/bakery/cafe-belem-toronto/" TargetMode="External" Id="rId645" /><Relationship Type="http://schemas.openxmlformats.org/officeDocument/2006/relationships/hyperlink" Target="https://www.casamorales.ca/" TargetMode="External" Id="rId646" /><Relationship Type="http://schemas.openxmlformats.org/officeDocument/2006/relationships/hyperlink" Target="https://www.instagram.com/casamorales.to/" TargetMode="External" Id="rId647" /><Relationship Type="http://schemas.openxmlformats.org/officeDocument/2006/relationships/hyperlink" Target="https://www.blogto.com/restaurants/casa-morales-toronto/" TargetMode="External" Id="rId648" /><Relationship Type="http://schemas.openxmlformats.org/officeDocument/2006/relationships/hyperlink" Target="https://streetsoftoronto.com/?p=169856" TargetMode="External" Id="rId649" /><Relationship Type="http://schemas.openxmlformats.org/officeDocument/2006/relationships/hyperlink" Target="https://greygardens.ca/" TargetMode="External" Id="rId650" /><Relationship Type="http://schemas.openxmlformats.org/officeDocument/2006/relationships/hyperlink" Target="https://www.destinationtoronto.com/restaurants/michelin/" TargetMode="External" Id="rId651" /><Relationship Type="http://schemas.openxmlformats.org/officeDocument/2006/relationships/hyperlink" Target="https://www.hawker.to/menu" TargetMode="External" Id="rId652" /><Relationship Type="http://schemas.openxmlformats.org/officeDocument/2006/relationships/hyperlink" Target="https://www.instagram.com/hawker.to/" TargetMode="External" Id="rId653" /><Relationship Type="http://schemas.openxmlformats.org/officeDocument/2006/relationships/hyperlink" Target="https://www.opentable.co.th/r/hawker-toronto" TargetMode="External" Id="rId654" /><Relationship Type="http://schemas.openxmlformats.org/officeDocument/2006/relationships/hyperlink" Target="https://guide.michelin.com/en/ontario/toronto/restaurant/mother-s-dumplings" TargetMode="External" Id="rId655" /><Relationship Type="http://schemas.openxmlformats.org/officeDocument/2006/relationships/hyperlink" Target="https://qinsgarden.ca/" TargetMode="External" Id="rId656" /><Relationship Type="http://schemas.openxmlformats.org/officeDocument/2006/relationships/hyperlink" Target="https://www.instagram.com/qinsgardencanada/" TargetMode="External" Id="rId657" /><Relationship Type="http://schemas.openxmlformats.org/officeDocument/2006/relationships/hyperlink" Target="https://qinsgarden.ca/" TargetMode="External" Id="rId658" /><Relationship Type="http://schemas.openxmlformats.org/officeDocument/2006/relationships/hyperlink" Target="http://www.rdspadina.com/" TargetMode="External" Id="rId659" /><Relationship Type="http://schemas.openxmlformats.org/officeDocument/2006/relationships/hyperlink" Target="https://www.destinationtoronto.com/restaurants/michelin/" TargetMode="External" Id="rId660" /><Relationship Type="http://schemas.openxmlformats.org/officeDocument/2006/relationships/hyperlink" Target="https://rikkitikki.ca/" TargetMode="External" Id="rId661" /><Relationship Type="http://schemas.openxmlformats.org/officeDocument/2006/relationships/hyperlink" Target="https://www.instagram.com/rikki.tikki.to/" TargetMode="External" Id="rId662" /><Relationship Type="http://schemas.openxmlformats.org/officeDocument/2006/relationships/hyperlink" Target="https://rikkitikki.ca/" TargetMode="External" Id="rId663" /><Relationship Type="http://schemas.openxmlformats.org/officeDocument/2006/relationships/hyperlink" Target="https://sunnyschinese.com/" TargetMode="External" Id="rId664" /><Relationship Type="http://schemas.openxmlformats.org/officeDocument/2006/relationships/hyperlink" Target="https://www.instagram.com/sunnyschinese/" TargetMode="External" Id="rId665" /><Relationship Type="http://schemas.openxmlformats.org/officeDocument/2006/relationships/hyperlink" Target="https://www.destinationtoronto.com/restaurants/michelin/" TargetMode="External" Id="rId666" /><Relationship Type="http://schemas.openxmlformats.org/officeDocument/2006/relationships/hyperlink" Target="https://www.instagram.com/teowtemtoh.to/" TargetMode="External" Id="rId667" /><Relationship Type="http://schemas.openxmlformats.org/officeDocument/2006/relationships/hyperlink" Target="https://www.blogto.com/restaurants/teow-tem-toh-toronto/" TargetMode="External" Id="rId668" /><Relationship Type="http://schemas.openxmlformats.org/officeDocument/2006/relationships/hyperlink" Target="https://www.thecottagecheese.ca/" TargetMode="External" Id="rId669" /><Relationship Type="http://schemas.openxmlformats.org/officeDocument/2006/relationships/hyperlink" Target="https://www.destinationtoronto.com/restaurants/michelin/" TargetMode="External" Id="rId670" /><Relationship Type="http://schemas.openxmlformats.org/officeDocument/2006/relationships/hyperlink" Target="https://www.laonbake.com/" TargetMode="External" Id="rId671" /><Relationship Type="http://schemas.openxmlformats.org/officeDocument/2006/relationships/hyperlink" Target="https://www.blogto.com/cafes/cafe-la-toronto/" TargetMode="External" Id="rId672" /><Relationship Type="http://schemas.openxmlformats.org/officeDocument/2006/relationships/hyperlink" Target="https://graination.ca/" TargetMode="External" Id="rId673" /><Relationship Type="http://schemas.openxmlformats.org/officeDocument/2006/relationships/hyperlink" Target="https://www.instagram.com/graination_official/" TargetMode="External" Id="rId674" /><Relationship Type="http://schemas.openxmlformats.org/officeDocument/2006/relationships/hyperlink" Target="https://graination.ca/" TargetMode="External" Id="rId675" /><Relationship Type="http://schemas.openxmlformats.org/officeDocument/2006/relationships/hyperlink" Target="https://www.matchahaus.ca/" TargetMode="External" Id="rId676" /><Relationship Type="http://schemas.openxmlformats.org/officeDocument/2006/relationships/hyperlink" Target="https://www.blogto.com/cafes/matcha-haus/" TargetMode="External" Id="rId677" /><Relationship Type="http://schemas.openxmlformats.org/officeDocument/2006/relationships/hyperlink" Target="https://www.instagram.com/projectseoul.cafe" TargetMode="External" Id="rId678" /><Relationship Type="http://schemas.openxmlformats.org/officeDocument/2006/relationships/hyperlink" Target="https://www.blogto.com/cafes/project-seoul-toronto/" TargetMode="External" Id="rId679" /><Relationship Type="http://schemas.openxmlformats.org/officeDocument/2006/relationships/hyperlink" Target="https://bunners.ca/shop" TargetMode="External" Id="rId680" /><Relationship Type="http://schemas.openxmlformats.org/officeDocument/2006/relationships/hyperlink" Target="https://bunners.ca/shop" TargetMode="External" Id="rId681" /><Relationship Type="http://schemas.openxmlformats.org/officeDocument/2006/relationships/hyperlink" Target="https://milkandcookies.ca/" TargetMode="External" Id="rId682" /><Relationship Type="http://schemas.openxmlformats.org/officeDocument/2006/relationships/hyperlink" Target="https://www.instagram.com/milkandcookiesto/" TargetMode="External" Id="rId683" /><Relationship Type="http://schemas.openxmlformats.org/officeDocument/2006/relationships/hyperlink" Target="https://www.blogto.com/bakery/milk-and-cookies-toronto/" TargetMode="External" Id="rId684" /><Relationship Type="http://schemas.openxmlformats.org/officeDocument/2006/relationships/hyperlink" Target="http://wandaspieinthesky.com/" TargetMode="External" Id="rId685" /><Relationship Type="http://schemas.openxmlformats.org/officeDocument/2006/relationships/hyperlink" Target="https://spottedbylocals.com/toronto/wandas-pie-in-the-sky" TargetMode="External" Id="rId686" /><Relationship Type="http://schemas.openxmlformats.org/officeDocument/2006/relationships/hyperlink" Target="https://www.alebrijetoronto.com/" TargetMode="External" Id="rId687" /><Relationship Type="http://schemas.openxmlformats.org/officeDocument/2006/relationships/hyperlink" Target="https://www.blogto.com/restaurants/alebrije-toronto/" TargetMode="External" Id="rId688" /><Relationship Type="http://schemas.openxmlformats.org/officeDocument/2006/relationships/hyperlink" Target="https://www.blogto.com/restaurants/bar-eugenie-toronto/" TargetMode="External" Id="rId689" /><Relationship Type="http://schemas.openxmlformats.org/officeDocument/2006/relationships/hyperlink" Target="https://www.barmercurio.com/" TargetMode="External" Id="rId690" /><Relationship Type="http://schemas.openxmlformats.org/officeDocument/2006/relationships/hyperlink" Target="https://www.instagram.com/barmercurio/" TargetMode="External" Id="rId691" /><Relationship Type="http://schemas.openxmlformats.org/officeDocument/2006/relationships/hyperlink" Target="https://www.barmercurio.com/" TargetMode="External" Id="rId692" /><Relationship Type="http://schemas.openxmlformats.org/officeDocument/2006/relationships/hyperlink" Target="https://www.bellistoronto.com/" TargetMode="External" Id="rId693" /><Relationship Type="http://schemas.openxmlformats.org/officeDocument/2006/relationships/hyperlink" Target="https://www.instagram.com/bellis.toronto/" TargetMode="External" Id="rId694" /><Relationship Type="http://schemas.openxmlformats.org/officeDocument/2006/relationships/hyperlink" Target="https://www.blogto.com/restaurants/bellis-toronto/" TargetMode="External" Id="rId695" /><Relationship Type="http://schemas.openxmlformats.org/officeDocument/2006/relationships/hyperlink" Target="https://torontolife.com/deep-dives/these-are-torontos-best-new-restaurants-of-2026/" TargetMode="External" Id="rId696" /><Relationship Type="http://schemas.openxmlformats.org/officeDocument/2006/relationships/hyperlink" Target="https://www.instagram.com/dreyfustoronto/" TargetMode="External" Id="rId697" /><Relationship Type="http://schemas.openxmlformats.org/officeDocument/2006/relationships/hyperlink" Target="https://joinpearl.co/lists/michelin-guide-toronto-region-2026" TargetMode="External" Id="rId698" /><Relationship Type="http://schemas.openxmlformats.org/officeDocument/2006/relationships/hyperlink" Target="https://fatpasha.com/" TargetMode="External" Id="rId699" /><Relationship Type="http://schemas.openxmlformats.org/officeDocument/2006/relationships/hyperlink" Target="https://www.instagram.com/fatpasha/" TargetMode="External" Id="rId700" /><Relationship Type="http://schemas.openxmlformats.org/officeDocument/2006/relationships/hyperlink" Target="https://fatpasha.com/" TargetMode="External" Id="rId701" /><Relationship Type="http://schemas.openxmlformats.org/officeDocument/2006/relationships/hyperlink" Target="https://goldenhorseshoebbq.com/" TargetMode="External" Id="rId702" /><Relationship Type="http://schemas.openxmlformats.org/officeDocument/2006/relationships/hyperlink" Target="https://www.destinationtoronto.com/restaurants/michelin/" TargetMode="External" Id="rId703" /><Relationship Type="http://schemas.openxmlformats.org/officeDocument/2006/relationships/hyperlink" Target="https://www.leparadis.com/default.aspx" TargetMode="External" Id="rId704" /><Relationship Type="http://schemas.openxmlformats.org/officeDocument/2006/relationships/hyperlink" Target="https://www.instagram.com/paradisbistro/" TargetMode="External" Id="rId705" /><Relationship Type="http://schemas.openxmlformats.org/officeDocument/2006/relationships/hyperlink" Target="https://www.leparadis.com/" TargetMode="External" Id="rId706" /><Relationship Type="http://schemas.openxmlformats.org/officeDocument/2006/relationships/hyperlink" Target="https://www.maventoronto.ca/" TargetMode="External" Id="rId707" /><Relationship Type="http://schemas.openxmlformats.org/officeDocument/2006/relationships/hyperlink" Target="https://www.instagram.com/maventoronto/" TargetMode="External" Id="rId708" /><Relationship Type="http://schemas.openxmlformats.org/officeDocument/2006/relationships/hyperlink" Target="https://www.blogto.com/restaurants/maven-toronto/" TargetMode="External" Id="rId709" /><Relationship Type="http://schemas.openxmlformats.org/officeDocument/2006/relationships/hyperlink" Target="https://www.mezcalerotoronto.com/" TargetMode="External" Id="rId710" /><Relationship Type="http://schemas.openxmlformats.org/officeDocument/2006/relationships/hyperlink" Target="https://www.instagram.com/mezcalerotoronto/" TargetMode="External" Id="rId711" /><Relationship Type="http://schemas.openxmlformats.org/officeDocument/2006/relationships/hyperlink" Target="https://www.mezcalerotoronto.com/" TargetMode="External" Id="rId712" /><Relationship Type="http://schemas.openxmlformats.org/officeDocument/2006/relationships/hyperlink" Target="https://www.instagram.com/niceslice.to/" TargetMode="External" Id="rId713" /><Relationship Type="http://schemas.openxmlformats.org/officeDocument/2006/relationships/hyperlink" Target="https://www.blogto.com/restaurants/nice-slice-toronto/" TargetMode="External" Id="rId714" /><Relationship Type="http://schemas.openxmlformats.org/officeDocument/2006/relationships/hyperlink" Target="https://restaurantparquet.com/" TargetMode="External" Id="rId715" /><Relationship Type="http://schemas.openxmlformats.org/officeDocument/2006/relationships/hyperlink" Target="https://www.instagram.com/restaurantparquet/" TargetMode="External" Id="rId716" /><Relationship Type="http://schemas.openxmlformats.org/officeDocument/2006/relationships/hyperlink" Target="https://guide.michelin.com/us/en/ontario/toronto/restaurant/parquet" TargetMode="External" Id="rId717" /><Relationship Type="http://schemas.openxmlformats.org/officeDocument/2006/relationships/hyperlink" Target="https://www.peacefulrestaurant.com/" TargetMode="External" Id="rId718" /><Relationship Type="http://schemas.openxmlformats.org/officeDocument/2006/relationships/hyperlink" Target="https://www.blogto.com/restaurants/peaceful-restaurant-toronto/" TargetMode="External" Id="rId719" /><Relationship Type="http://schemas.openxmlformats.org/officeDocument/2006/relationships/hyperlink" Target="https://www.rasabar.ca/" TargetMode="External" Id="rId720" /><Relationship Type="http://schemas.openxmlformats.org/officeDocument/2006/relationships/hyperlink" Target="https://www.instagram.com/rasarestaurantto/" TargetMode="External" Id="rId721" /><Relationship Type="http://schemas.openxmlformats.org/officeDocument/2006/relationships/hyperlink" Target="https://www.destinationtoronto.com/restaurants/michelin/" TargetMode="External" Id="rId722" /><Relationship Type="http://schemas.openxmlformats.org/officeDocument/2006/relationships/hyperlink" Target="https://www.chadwicks.ca/" TargetMode="External" Id="rId723" /><Relationship Type="http://schemas.openxmlformats.org/officeDocument/2006/relationships/hyperlink" Target="https://www.instagram.com/chadwickskitchenbar/" TargetMode="External" Id="rId724" /><Relationship Type="http://schemas.openxmlformats.org/officeDocument/2006/relationships/hyperlink" Target="https://www.chadwicks.ca/" TargetMode="External" Id="rId725" /><Relationship Type="http://schemas.openxmlformats.org/officeDocument/2006/relationships/hyperlink" Target="https://www.instagram.com/daisymays_to/" TargetMode="External" Id="rId726" /><Relationship Type="http://schemas.openxmlformats.org/officeDocument/2006/relationships/hyperlink" Target="https://www.blogto.com/restaurants/daisy-mays/" TargetMode="External" Id="rId727" /><Relationship Type="http://schemas.openxmlformats.org/officeDocument/2006/relationships/hyperlink" Target="https://arbequinato.com/" TargetMode="External" Id="rId728" /><Relationship Type="http://schemas.openxmlformats.org/officeDocument/2006/relationships/hyperlink" Target="https://www.instagram.com/arbequina_restaurant/" TargetMode="External" Id="rId729" /><Relationship Type="http://schemas.openxmlformats.org/officeDocument/2006/relationships/hyperlink" Target="https://menumag.ca/2025/05/13/arbequina-inspired-by-love-levantine-cuisine-local-food/" TargetMode="External" Id="rId730" /><Relationship Type="http://schemas.openxmlformats.org/officeDocument/2006/relationships/hyperlink" Target="https://www.barque.ca/" TargetMode="External" Id="rId731" /><Relationship Type="http://schemas.openxmlformats.org/officeDocument/2006/relationships/hyperlink" Target="https://www.instagram.com/barquebbq/" TargetMode="External" Id="rId732" /><Relationship Type="http://schemas.openxmlformats.org/officeDocument/2006/relationships/hyperlink" Target="https://www.blogto.com/eat_drink/2026/07/barque-bbq-xo-bisous-toronto/" TargetMode="External" Id="rId733" /><Relationship Type="http://schemas.openxmlformats.org/officeDocument/2006/relationships/hyperlink" Target="https://www.destinationtoronto.com/restaurants/michelin/" TargetMode="External" Id="rId734" /><Relationship Type="http://schemas.openxmlformats.org/officeDocument/2006/relationships/hyperlink" Target="http://www.cafepolonez.ca" TargetMode="External" Id="rId735" /><Relationship Type="http://schemas.openxmlformats.org/officeDocument/2006/relationships/hyperlink" Target="https://tastet.ca/en/reviews/cafe-polonez-torontos-45-year-old-polish-institution-on-roncesvalles/" TargetMode="External" Id="rId736" /><Relationship Type="http://schemas.openxmlformats.org/officeDocument/2006/relationships/hyperlink" Target="https://www.dilse.ca/" TargetMode="External" Id="rId737" /><Relationship Type="http://schemas.openxmlformats.org/officeDocument/2006/relationships/hyperlink" Target="https://www.instagram.com/dilse.ca/" TargetMode="External" Id="rId738" /><Relationship Type="http://schemas.openxmlformats.org/officeDocument/2006/relationships/hyperlink" Target="https://www.dilse.ca/" TargetMode="External" Id="rId739" /><Relationship Type="http://schemas.openxmlformats.org/officeDocument/2006/relationships/hyperlink" Target="https://www.musoshin.com/" TargetMode="External" Id="rId740" /><Relationship Type="http://schemas.openxmlformats.org/officeDocument/2006/relationships/hyperlink" Target="https://joinpearl.co/lists/michelin-guide-toronto-region-2026" TargetMode="External" Id="rId741" /><Relationship Type="http://schemas.openxmlformats.org/officeDocument/2006/relationships/hyperlink" Target="https://www.properfb.com/" TargetMode="External" Id="rId742" /><Relationship Type="http://schemas.openxmlformats.org/officeDocument/2006/relationships/hyperlink" Target="https://www.instagram.com/proper.to/" TargetMode="External" Id="rId743" /><Relationship Type="http://schemas.openxmlformats.org/officeDocument/2006/relationships/hyperlink" Target="https://www.blogto.com/restaurants/proper-toronto/" TargetMode="External" Id="rId744" /><Relationship Type="http://schemas.openxmlformats.org/officeDocument/2006/relationships/hyperlink" Target="https://sorryivegotplants.com/" TargetMode="External" Id="rId745" /><Relationship Type="http://schemas.openxmlformats.org/officeDocument/2006/relationships/hyperlink" Target="https://www.instagram.com/sorryivegotplants/" TargetMode="External" Id="rId746" /><Relationship Type="http://schemas.openxmlformats.org/officeDocument/2006/relationships/hyperlink" Target="https://sorryivegotplants.com/" TargetMode="External" Id="rId747" /><Relationship Type="http://schemas.openxmlformats.org/officeDocument/2006/relationships/hyperlink" Target="https://www.theacetoronto.com/" TargetMode="External" Id="rId748" /><Relationship Type="http://schemas.openxmlformats.org/officeDocument/2006/relationships/hyperlink" Target="https://www.instagram.com/theacetoronto/" TargetMode="External" Id="rId749" /><Relationship Type="http://schemas.openxmlformats.org/officeDocument/2006/relationships/hyperlink" Target="https://www.destinationtoronto.com/restaurants/michelin/" TargetMode="External" Id="rId750" /><Relationship Type="http://schemas.openxmlformats.org/officeDocument/2006/relationships/hyperlink" Target="https://restaurantstop.ca/" TargetMode="External" Id="rId751" /><Relationship Type="http://schemas.openxmlformats.org/officeDocument/2006/relationships/hyperlink" Target="https://www.instagram.com/carbsnproteins/" TargetMode="External" Id="rId752" /><Relationship Type="http://schemas.openxmlformats.org/officeDocument/2006/relationships/hyperlink" Target="https://restaurantstop.ca/" TargetMode="External" Id="rId753" /><Relationship Type="http://schemas.openxmlformats.org/officeDocument/2006/relationships/hyperlink" Target="https://www.instagram.com/caferusso_/" TargetMode="External" Id="rId754" /><Relationship Type="http://schemas.openxmlformats.org/officeDocument/2006/relationships/hyperlink" Target="https://www.blogto.com/cafes/cafe-russo-toronto/" TargetMode="External" Id="rId755" /><Relationship Type="http://schemas.openxmlformats.org/officeDocument/2006/relationships/hyperlink" Target="https://www.cherrybombcoffee.ca/" TargetMode="External" Id="rId756" /><Relationship Type="http://schemas.openxmlformats.org/officeDocument/2006/relationships/hyperlink" Target="https://www.cherrybombcoffee.ca/" TargetMode="External" Id="rId757" /><Relationship Type="http://schemas.openxmlformats.org/officeDocument/2006/relationships/hyperlink" Target="https://reunioncoffeeroasters.com/pages/cafe" TargetMode="External" Id="rId758" /><Relationship Type="http://schemas.openxmlformats.org/officeDocument/2006/relationships/hyperlink" Target="https://www.instagram.com/reunioncoffee/" TargetMode="External" Id="rId759" /><Relationship Type="http://schemas.openxmlformats.org/officeDocument/2006/relationships/hyperlink" Target="https://reunioncoffeeroasters.com/pages/cafe" TargetMode="External" Id="rId760" /><Relationship Type="http://schemas.openxmlformats.org/officeDocument/2006/relationships/hyperlink" Target="https://fantail.biz/" TargetMode="External" Id="rId761" /><Relationship Type="http://schemas.openxmlformats.org/officeDocument/2006/relationships/hyperlink" Target="https://www.instagram.com/fantail_bakery_cafe/" TargetMode="External" Id="rId762" /><Relationship Type="http://schemas.openxmlformats.org/officeDocument/2006/relationships/hyperlink" Target="https://fantail.biz/" TargetMode="External" Id="rId763" /><Relationship Type="http://schemas.openxmlformats.org/officeDocument/2006/relationships/hyperlink" Target="https://mabelsbakery.ca/" TargetMode="External" Id="rId764" /><Relationship Type="http://schemas.openxmlformats.org/officeDocument/2006/relationships/hyperlink" Target="https://www.instagram.com/mabelsbakery/" TargetMode="External" Id="rId765" /><Relationship Type="http://schemas.openxmlformats.org/officeDocument/2006/relationships/hyperlink" Target="https://mabelsbakery.ca/" TargetMode="External" Id="rId766" /><Relationship Type="http://schemas.openxmlformats.org/officeDocument/2006/relationships/hyperlink" Target="https://www.restaurantazura.com/" TargetMode="External" Id="rId767" /><Relationship Type="http://schemas.openxmlformats.org/officeDocument/2006/relationships/hyperlink" Target="https://guide.michelin.com/us/en/ontario/toronto/restaurant/azura" TargetMode="External" Id="rId768" /><Relationship Type="http://schemas.openxmlformats.org/officeDocument/2006/relationships/hyperlink" Target="https://horiotaverna.com/" TargetMode="External" Id="rId769" /><Relationship Type="http://schemas.openxmlformats.org/officeDocument/2006/relationships/hyperlink" Target="https://www.blogto.com/restaurants/horio-taverna/" TargetMode="External" Id="rId770" /><Relationship Type="http://schemas.openxmlformats.org/officeDocument/2006/relationships/hyperlink" Target="https://www.hungryonion.org/t/greek-balkan-and-or-turkish-restaurants-bars-coffee-shops-groceries-and-bakeries-in-toronto-and-the-greater-toronto-area-danforth-scarborough-ossington/29050/175" TargetMode="External" Id="rId771" /><Relationship Type="http://schemas.openxmlformats.org/officeDocument/2006/relationships/hyperlink" Target="https://www.blogto.com/restaurants/sambal-toronto/" TargetMode="External" Id="rId772" /><Relationship Type="http://schemas.openxmlformats.org/officeDocument/2006/relationships/hyperlink" Target="https://sarangkitchen.ca/" TargetMode="External" Id="rId773" /><Relationship Type="http://schemas.openxmlformats.org/officeDocument/2006/relationships/hyperlink" Target="https://www.blogto.com/restaurants/sarang-kitchen-danfortht-toronto/" TargetMode="External" Id="rId774" /><Relationship Type="http://schemas.openxmlformats.org/officeDocument/2006/relationships/hyperlink" Target="https://soulas.ca/" TargetMode="External" Id="rId775" /><Relationship Type="http://schemas.openxmlformats.org/officeDocument/2006/relationships/hyperlink" Target="https://www.instagram.com/soulasmoderngreekcuisine/" TargetMode="External" Id="rId776" /><Relationship Type="http://schemas.openxmlformats.org/officeDocument/2006/relationships/hyperlink" Target="https://soulas.ca/" TargetMode="External" Id="rId777" /><Relationship Type="http://schemas.openxmlformats.org/officeDocument/2006/relationships/hyperlink" Target="https://www.sugarkanerestaurant.ca/" TargetMode="External" Id="rId778" /><Relationship Type="http://schemas.openxmlformats.org/officeDocument/2006/relationships/hyperlink" Target="https://www.instagram.com/sugarkanerestaurant/" TargetMode="External" Id="rId779" /><Relationship Type="http://schemas.openxmlformats.org/officeDocument/2006/relationships/hyperlink" Target="https://byblacks.com/restaurantweek/brw-menus/brw-menus-on/item/3586-sugarkane-caribbean-cajun-cuisine-toronto-on" TargetMode="External" Id="rId780" /><Relationship Type="http://schemas.openxmlformats.org/officeDocument/2006/relationships/hyperlink" Target="https://www.diparma.ca/" TargetMode="External" Id="rId781" /><Relationship Type="http://schemas.openxmlformats.org/officeDocument/2006/relationships/hyperlink" Target="https://www.opentable.ca/restaurant/profile/1327975" TargetMode="External" Id="rId782" /><Relationship Type="http://schemas.openxmlformats.org/officeDocument/2006/relationships/hyperlink" Target="https://www.blogto.com/restaurants/cafe-vincenzo-toronto/" TargetMode="External" Id="rId783" /><Relationship Type="http://schemas.openxmlformats.org/officeDocument/2006/relationships/hyperlink" Target="https://fluffmeup.com/" TargetMode="External" Id="rId784" /><Relationship Type="http://schemas.openxmlformats.org/officeDocument/2006/relationships/hyperlink" Target="https://www.instagram.com/fluffme_up/" TargetMode="External" Id="rId785" /><Relationship Type="http://schemas.openxmlformats.org/officeDocument/2006/relationships/hyperlink" Target="https://www.blogto.com/cafes/fluff-me-toronto/" TargetMode="External" Id="rId786" /><Relationship Type="http://schemas.openxmlformats.org/officeDocument/2006/relationships/hyperlink" Target="https://onegramcoffeebar.com/" TargetMode="External" Id="rId787" /><Relationship Type="http://schemas.openxmlformats.org/officeDocument/2006/relationships/hyperlink" Target="https://www.instagram.com/onegramcoffeebar/" TargetMode="External" Id="rId788" /><Relationship Type="http://schemas.openxmlformats.org/officeDocument/2006/relationships/hyperlink" Target="https://www.blogto.com/cafes/one-gram-coffee-bar-toronto/" TargetMode="External" Id="rId789" /><Relationship Type="http://schemas.openxmlformats.org/officeDocument/2006/relationships/hyperlink" Target="https://urbantoronto.ca/forum/goto/post?id=1625205" TargetMode="External" Id="rId790" /><Relationship Type="http://schemas.openxmlformats.org/officeDocument/2006/relationships/hyperlink" Target="https://www.blogto.com/eat_drink/2026/03/cheap-eats-liberty-village-toronto/" TargetMode="External" Id="rId791" /><Relationship Type="http://schemas.openxmlformats.org/officeDocument/2006/relationships/hyperlink" Target="https://www.instagram.com/mozyscharcoal/" TargetMode="External" Id="rId792" /><Relationship Type="http://schemas.openxmlformats.org/officeDocument/2006/relationships/hyperlink" Target="https://www.blogto.com/restaurants/mozys-charcoal-toronto/" TargetMode="External" Id="rId793" /><Relationship Type="http://schemas.openxmlformats.org/officeDocument/2006/relationships/hyperlink" Target="https://www.nodoliberty.ca/" TargetMode="External" Id="rId794" /><Relationship Type="http://schemas.openxmlformats.org/officeDocument/2006/relationships/hyperlink" Target="https://www.opentable.co.uk/restaurant/profile/1251421" TargetMode="External" Id="rId795" /><Relationship Type="http://schemas.openxmlformats.org/officeDocument/2006/relationships/hyperlink" Target="https://www.yourcitywithin.com/top-5-new-restaurants-in-liberty-village/" TargetMode="External" Id="rId796" /><Relationship Type="http://schemas.openxmlformats.org/officeDocument/2006/relationships/hyperlink" Target="https://www.thindi.ca/" TargetMode="External" Id="rId797" /><Relationship Type="http://schemas.openxmlformats.org/officeDocument/2006/relationships/hyperlink" Target="https://www.blogto.com/eat_drink/2026/03/cheap-eats-liberty-village-toronto/" TargetMode="External" Id="rId798" /><Relationship Type="http://schemas.openxmlformats.org/officeDocument/2006/relationships/hyperlink" Target="https://www.schooltoronto.com/" TargetMode="External" Id="rId799" /><Relationship Type="http://schemas.openxmlformats.org/officeDocument/2006/relationships/hyperlink" Target="https://www.instagram.com/schoolresto/" TargetMode="External" Id="rId800" /><Relationship Type="http://schemas.openxmlformats.org/officeDocument/2006/relationships/hyperlink" Target="https://www.schooltoronto.com/" TargetMode="External" Id="rId801" /><Relationship Type="http://schemas.openxmlformats.org/officeDocument/2006/relationships/hyperlink" Target="https://arvocoffee.com/" TargetMode="External" Id="rId802" /><Relationship Type="http://schemas.openxmlformats.org/officeDocument/2006/relationships/hyperlink" Target="https://www.instagram.com/arvocoffee/" TargetMode="External" Id="rId803" /><Relationship Type="http://schemas.openxmlformats.org/officeDocument/2006/relationships/hyperlink" Target="https://www.blogto.com/eat_drink/2026/03/cheap-eats-liberty-village-toronto/" TargetMode="External" Id="rId804" /><Relationship Type="http://schemas.openxmlformats.org/officeDocument/2006/relationships/hyperlink" Target="https://brodflour.com/" TargetMode="External" Id="rId805" /><Relationship Type="http://schemas.openxmlformats.org/officeDocument/2006/relationships/hyperlink" Target="https://www.instagram.com/brodflour/" TargetMode="External" Id="rId806" /><Relationship Type="http://schemas.openxmlformats.org/officeDocument/2006/relationships/hyperlink" Target="https://www.blogto.com/eat_drink/2026/03/cheap-eats-liberty-village-toronto/" TargetMode="External" Id="rId807" /><Relationship Type="http://schemas.openxmlformats.org/officeDocument/2006/relationships/hyperlink" Target="https://www.bairrada.ca/" TargetMode="External" Id="rId808" /><Relationship Type="http://schemas.openxmlformats.org/officeDocument/2006/relationships/hyperlink" Target="https://www.bairrada.ca/" TargetMode="External" Id="rId809" /><Relationship Type="http://schemas.openxmlformats.org/officeDocument/2006/relationships/hyperlink" Target="http://lachingada.ca/" TargetMode="External" Id="rId810" /><Relationship Type="http://schemas.openxmlformats.org/officeDocument/2006/relationships/hyperlink" Target="https://instagram.com/la_chingada" TargetMode="External" Id="rId811" /><Relationship Type="http://schemas.openxmlformats.org/officeDocument/2006/relationships/hyperlink" Target="http://lachingada.ca/" TargetMode="External" Id="rId812" /><Relationship Type="http://schemas.openxmlformats.org/officeDocument/2006/relationships/hyperlink" Target="https://www.lebaratin.ca/" TargetMode="External" Id="rId813" /><Relationship Type="http://schemas.openxmlformats.org/officeDocument/2006/relationships/hyperlink" Target="https://instagram.com/lebaratinyyz" TargetMode="External" Id="rId814" /><Relationship Type="http://schemas.openxmlformats.org/officeDocument/2006/relationships/hyperlink" Target="https://www.lebaratin.ca/" TargetMode="External" Id="rId815" /><Relationship Type="http://schemas.openxmlformats.org/officeDocument/2006/relationships/hyperlink" Target="https://www.slowsouthpizza.com/" TargetMode="External" Id="rId816" /><Relationship Type="http://schemas.openxmlformats.org/officeDocument/2006/relationships/hyperlink" Target="https://instagram.com/slowsouthpizza" TargetMode="External" Id="rId817" /><Relationship Type="http://schemas.openxmlformats.org/officeDocument/2006/relationships/hyperlink" Target="https://www.slowsouthpizza.com/" TargetMode="External" Id="rId818" /><Relationship Type="http://schemas.openxmlformats.org/officeDocument/2006/relationships/hyperlink" Target="https://stefanosdiner.com/" TargetMode="External" Id="rId819" /><Relationship Type="http://schemas.openxmlformats.org/officeDocument/2006/relationships/hyperlink" Target="https://instagram.com/stefanosdiner" TargetMode="External" Id="rId820" /><Relationship Type="http://schemas.openxmlformats.org/officeDocument/2006/relationships/hyperlink" Target="https://stefanosdiner.com/" TargetMode="External" Id="rId821" /><Relationship Type="http://schemas.openxmlformats.org/officeDocument/2006/relationships/hyperlink" Target="https://sukhothaifood.ca/" TargetMode="External" Id="rId822" /><Relationship Type="http://schemas.openxmlformats.org/officeDocument/2006/relationships/hyperlink" Target="https://instagram.com/sukhothaifood" TargetMode="External" Id="rId823" /><Relationship Type="http://schemas.openxmlformats.org/officeDocument/2006/relationships/hyperlink" Target="https://sukhothaifood.ca/" TargetMode="External" Id="rId824" /><Relationship Type="http://schemas.openxmlformats.org/officeDocument/2006/relationships/hyperlink" Target="https://www.takja.ca/" TargetMode="External" Id="rId825" /><Relationship Type="http://schemas.openxmlformats.org/officeDocument/2006/relationships/hyperlink" Target="https://instagram.com/takja_bbq" TargetMode="External" Id="rId826" /><Relationship Type="http://schemas.openxmlformats.org/officeDocument/2006/relationships/hyperlink" Target="https://guide.michelin.com/ca/en/ontario/toronto/restaurant/takja" TargetMode="External" Id="rId827" /><Relationship Type="http://schemas.openxmlformats.org/officeDocument/2006/relationships/hyperlink" Target="https://viaggiorestaurant.ca/" TargetMode="External" Id="rId828" /><Relationship Type="http://schemas.openxmlformats.org/officeDocument/2006/relationships/hyperlink" Target="https://instagram.com/viaggiorestaurant" TargetMode="External" Id="rId829" /><Relationship Type="http://schemas.openxmlformats.org/officeDocument/2006/relationships/hyperlink" Target="https://guide.michelin.com/ca/en/ontario/toronto/restaurant/viaggio" TargetMode="External" Id="rId830" /><Relationship Type="http://schemas.openxmlformats.org/officeDocument/2006/relationships/hyperlink" Target="https://goodfork.ca/" TargetMode="External" Id="rId831" /><Relationship Type="http://schemas.openxmlformats.org/officeDocument/2006/relationships/hyperlink" Target="https://instagram.com/thegoodforkto" TargetMode="External" Id="rId832" /><Relationship Type="http://schemas.openxmlformats.org/officeDocument/2006/relationships/hyperlink" Target="https://goodfork.ca/" TargetMode="External" Id="rId833" /><Relationship Type="http://schemas.openxmlformats.org/officeDocument/2006/relationships/hyperlink" Target="https://instagram.com/afrobeatkitchen" TargetMode="External" Id="rId834" /><Relationship Type="http://schemas.openxmlformats.org/officeDocument/2006/relationships/hyperlink" Target="https://www.blogto.com/events/freedom-cookout-party-afrobeat-kitchen-toronto/" TargetMode="External" Id="rId835" /><Relationship Type="http://schemas.openxmlformats.org/officeDocument/2006/relationships/hyperlink" Target="https://armoniapastabar.com/" TargetMode="External" Id="rId836" /><Relationship Type="http://schemas.openxmlformats.org/officeDocument/2006/relationships/hyperlink" Target="https://instagram.com/armoniapastabar" TargetMode="External" Id="rId837" /><Relationship Type="http://schemas.openxmlformats.org/officeDocument/2006/relationships/hyperlink" Target="https://armoniapastabar.com/" TargetMode="External" Id="rId838" /><Relationship Type="http://schemas.openxmlformats.org/officeDocument/2006/relationships/hyperlink" Target="https://curiocity.com/torontos-parkdale-neighbourhood-guide/" TargetMode="External" Id="rId839" /><Relationship Type="http://schemas.openxmlformats.org/officeDocument/2006/relationships/hyperlink" Target="https://www.daymi.ca/" TargetMode="External" Id="rId840" /><Relationship Type="http://schemas.openxmlformats.org/officeDocument/2006/relationships/hyperlink" Target="https://instagram.com/daymi_ca" TargetMode="External" Id="rId841" /><Relationship Type="http://schemas.openxmlformats.org/officeDocument/2006/relationships/hyperlink" Target="https://www.daymi.ca/" TargetMode="External" Id="rId842" /><Relationship Type="http://schemas.openxmlformats.org/officeDocument/2006/relationships/hyperlink" Target="https://www.garleekkitchen.com/" TargetMode="External" Id="rId843" /><Relationship Type="http://schemas.openxmlformats.org/officeDocument/2006/relationships/hyperlink" Target="https://instagram.com/garleekkitchen" TargetMode="External" Id="rId844" /><Relationship Type="http://schemas.openxmlformats.org/officeDocument/2006/relationships/hyperlink" Target="https://www.garleekkitchen.com/" TargetMode="External" Id="rId845" /><Relationship Type="http://schemas.openxmlformats.org/officeDocument/2006/relationships/hyperlink" Target="https://curiocity.com/torontos-parkdale-neighbourhood-guide/" TargetMode="External" Id="rId846" /><Relationship Type="http://schemas.openxmlformats.org/officeDocument/2006/relationships/hyperlink" Target="https://curiocity.com/torontos-parkdale-neighbourhood-guide/" TargetMode="External" Id="rId847" /><Relationship Type="http://schemas.openxmlformats.org/officeDocument/2006/relationships/hyperlink" Target="https://www.molkagtez.com/" TargetMode="External" Id="rId848" /><Relationship Type="http://schemas.openxmlformats.org/officeDocument/2006/relationships/hyperlink" Target="https://instagram.com/molkagtez" TargetMode="External" Id="rId849" /><Relationship Type="http://schemas.openxmlformats.org/officeDocument/2006/relationships/hyperlink" Target="https://www.molkagtez.com/" TargetMode="External" Id="rId850" /><Relationship Type="http://schemas.openxmlformats.org/officeDocument/2006/relationships/hyperlink" Target="https://instagram.com/nunatoronto" TargetMode="External" Id="rId851" /><Relationship Type="http://schemas.openxmlformats.org/officeDocument/2006/relationships/hyperlink" Target="https://streetsoftoronto.com/nuna-toronto-peruvian-parkdale/" TargetMode="External" Id="rId852" /><Relationship Type="http://schemas.openxmlformats.org/officeDocument/2006/relationships/hyperlink" Target="https://shangrilarestaurant.ca/" TargetMode="External" Id="rId853" /><Relationship Type="http://schemas.openxmlformats.org/officeDocument/2006/relationships/hyperlink" Target="https://instagram.com/shangrilatibetancuisine" TargetMode="External" Id="rId854" /><Relationship Type="http://schemas.openxmlformats.org/officeDocument/2006/relationships/hyperlink" Target="https://shangrilarestaurant.ca/" TargetMode="External" Id="rId855" /><Relationship Type="http://schemas.openxmlformats.org/officeDocument/2006/relationships/hyperlink" Target="http://tibetkitchen.ca/" TargetMode="External" Id="rId856" /><Relationship Type="http://schemas.openxmlformats.org/officeDocument/2006/relationships/hyperlink" Target="http://tibetkitchen.ca/" TargetMode="External" Id="rId857" /><Relationship Type="http://schemas.openxmlformats.org/officeDocument/2006/relationships/hyperlink" Target="https://curiocity.com/torontos-parkdale-neighbourhood-guide/" TargetMode="External" Id="rId858" /><Relationship Type="http://schemas.openxmlformats.org/officeDocument/2006/relationships/hyperlink" Target="https://capitalespresso.ca/" TargetMode="External" Id="rId859" /><Relationship Type="http://schemas.openxmlformats.org/officeDocument/2006/relationships/hyperlink" Target="https://capitalespresso.ca/" TargetMode="External" Id="rId860" /><Relationship Type="http://schemas.openxmlformats.org/officeDocument/2006/relationships/hyperlink" Target="https://instagram.com/tinycafeparkdale" TargetMode="External" Id="rId861" /><Relationship Type="http://schemas.openxmlformats.org/officeDocument/2006/relationships/hyperlink" Target="https://curiocity.com/torontos-parkdale-neighbourhood-guide/" TargetMode="External" Id="rId862" /><Relationship Type="http://schemas.openxmlformats.org/officeDocument/2006/relationships/hyperlink" Target="https://aisle3bar.ca/" TargetMode="External" Id="rId863" /><Relationship Type="http://schemas.openxmlformats.org/officeDocument/2006/relationships/hyperlink" Target="https://instagram.com/aisle3bar" TargetMode="External" Id="rId864" /><Relationship Type="http://schemas.openxmlformats.org/officeDocument/2006/relationships/hyperlink" Target="https://aisle3bar.ca/" TargetMode="External" Id="rId865" /><Relationship Type="http://schemas.openxmlformats.org/officeDocument/2006/relationships/hyperlink" Target="https://bothams.ca/" TargetMode="External" Id="rId866" /><Relationship Type="http://schemas.openxmlformats.org/officeDocument/2006/relationships/hyperlink" Target="https://bothams.ca/" TargetMode="External" Id="rId867" /><Relationship Type="http://schemas.openxmlformats.org/officeDocument/2006/relationships/hyperlink" Target="http://www.currytwist.com/" TargetMode="External" Id="rId868" /><Relationship Type="http://schemas.openxmlformats.org/officeDocument/2006/relationships/hyperlink" Target="https://instagram.com/curry_twist" TargetMode="External" Id="rId869" /><Relationship Type="http://schemas.openxmlformats.org/officeDocument/2006/relationships/hyperlink" Target="http://www.currytwist.com/" TargetMode="External" Id="rId870" /><Relationship Type="http://schemas.openxmlformats.org/officeDocument/2006/relationships/hyperlink" Target="https://www.enotecarossio.com/" TargetMode="External" Id="rId871" /><Relationship Type="http://schemas.openxmlformats.org/officeDocument/2006/relationships/hyperlink" Target="https://instagram.com/enoteca.rossio" TargetMode="External" Id="rId872" /><Relationship Type="http://schemas.openxmlformats.org/officeDocument/2006/relationships/hyperlink" Target="https://www.enotecarossio.com/" TargetMode="External" Id="rId873" /><Relationship Type="http://schemas.openxmlformats.org/officeDocument/2006/relationships/hyperlink" Target="https://indilicious.ca/" TargetMode="External" Id="rId874" /><Relationship Type="http://schemas.openxmlformats.org/officeDocument/2006/relationships/hyperlink" Target="https://indilicious.ca/" TargetMode="External" Id="rId875" /><Relationship Type="http://schemas.openxmlformats.org/officeDocument/2006/relationships/hyperlink" Target="https://isaander.com/" TargetMode="External" Id="rId876" /><Relationship Type="http://schemas.openxmlformats.org/officeDocument/2006/relationships/hyperlink" Target="https://instagram.com/isaan_der" TargetMode="External" Id="rId877" /><Relationship Type="http://schemas.openxmlformats.org/officeDocument/2006/relationships/hyperlink" Target="https://isaander.com/" TargetMode="External" Id="rId878" /><Relationship Type="http://schemas.openxmlformats.org/officeDocument/2006/relationships/hyperlink" Target="https://www.lokumeats.com/" TargetMode="External" Id="rId879" /><Relationship Type="http://schemas.openxmlformats.org/officeDocument/2006/relationships/hyperlink" Target="https://instagram.com/lokumeats" TargetMode="External" Id="rId880" /><Relationship Type="http://schemas.openxmlformats.org/officeDocument/2006/relationships/hyperlink" Target="https://www.lokumeats.com/" TargetMode="External" Id="rId881" /><Relationship Type="http://schemas.openxmlformats.org/officeDocument/2006/relationships/hyperlink" Target="https://momotarosushi.ca/" TargetMode="External" Id="rId882" /><Relationship Type="http://schemas.openxmlformats.org/officeDocument/2006/relationships/hyperlink" Target="https://instagram.com/momotarosushitoronto" TargetMode="External" Id="rId883" /><Relationship Type="http://schemas.openxmlformats.org/officeDocument/2006/relationships/hyperlink" Target="https://momotarosushi.ca/" TargetMode="External" Id="rId884" /><Relationship Type="http://schemas.openxmlformats.org/officeDocument/2006/relationships/hyperlink" Target="https://www.nodorestaurant.ca/" TargetMode="External" Id="rId885" /><Relationship Type="http://schemas.openxmlformats.org/officeDocument/2006/relationships/hyperlink" Target="https://www.nodorestaurant.ca/" TargetMode="External" Id="rId886" /><Relationship Type="http://schemas.openxmlformats.org/officeDocument/2006/relationships/hyperlink" Target="https://www.profoundpizza.com/" TargetMode="External" Id="rId887" /><Relationship Type="http://schemas.openxmlformats.org/officeDocument/2006/relationships/hyperlink" Target="https://instagram.com/profound.pizza" TargetMode="External" Id="rId888" /><Relationship Type="http://schemas.openxmlformats.org/officeDocument/2006/relationships/hyperlink" Target="https://www.profoundpizza.com/" TargetMode="External" Id="rId889" /><Relationship Type="http://schemas.openxmlformats.org/officeDocument/2006/relationships/hyperlink" Target="https://moonfold.ca/" TargetMode="External" Id="rId890" /><Relationship Type="http://schemas.openxmlformats.org/officeDocument/2006/relationships/hyperlink" Target="https://moonfold.ca/" TargetMode="External" Id="rId891" /><Relationship Type="http://schemas.openxmlformats.org/officeDocument/2006/relationships/hyperlink" Target="https://www.vengacucina.ca/" TargetMode="External" Id="rId892" /><Relationship Type="http://schemas.openxmlformats.org/officeDocument/2006/relationships/hyperlink" Target="https://instagram.com/vengacucina" TargetMode="External" Id="rId893" /><Relationship Type="http://schemas.openxmlformats.org/officeDocument/2006/relationships/hyperlink" Target="https://www.vengacucina.ca/" TargetMode="External" Id="rId894" /><Relationship Type="http://schemas.openxmlformats.org/officeDocument/2006/relationships/hyperlink" Target="https://www.cabacoa.com/" TargetMode="External" Id="rId895" /><Relationship Type="http://schemas.openxmlformats.org/officeDocument/2006/relationships/hyperlink" Target="https://instagram.com/cabacoacafe" TargetMode="External" Id="rId896" /><Relationship Type="http://schemas.openxmlformats.org/officeDocument/2006/relationships/hyperlink" Target="https://www.cabacoa.com/" TargetMode="External" Id="rId897" /><Relationship Type="http://schemas.openxmlformats.org/officeDocument/2006/relationships/hyperlink" Target="https://canorestaurant.com/" TargetMode="External" Id="rId898" /><Relationship Type="http://schemas.openxmlformats.org/officeDocument/2006/relationships/hyperlink" Target="https://instagram.com/canorestaurant" TargetMode="External" Id="rId899" /><Relationship Type="http://schemas.openxmlformats.org/officeDocument/2006/relationships/hyperlink" Target="https://canorestaurant.com/" TargetMode="External" Id="rId900" /><Relationship Type="http://schemas.openxmlformats.org/officeDocument/2006/relationships/hyperlink" Target="https://www.ferrobarcafe.ca/" TargetMode="External" Id="rId901" /><Relationship Type="http://schemas.openxmlformats.org/officeDocument/2006/relationships/hyperlink" Target="https://instagram.com/ferrobarcafe" TargetMode="External" Id="rId902" /><Relationship Type="http://schemas.openxmlformats.org/officeDocument/2006/relationships/hyperlink" Target="https://www.ferrobarcafe.ca/" TargetMode="External" Id="rId903" /><Relationship Type="http://schemas.openxmlformats.org/officeDocument/2006/relationships/hyperlink" Target="https://www.fkrestauranttoronto.com/" TargetMode="External" Id="rId904" /><Relationship Type="http://schemas.openxmlformats.org/officeDocument/2006/relationships/hyperlink" Target="https://instagram.com/fkrestaurant" TargetMode="External" Id="rId905" /><Relationship Type="http://schemas.openxmlformats.org/officeDocument/2006/relationships/hyperlink" Target="https://guide.michelin.com/ca/en/ontario/toronto/restaurant/fk" TargetMode="External" Id="rId906" /><Relationship Type="http://schemas.openxmlformats.org/officeDocument/2006/relationships/hyperlink" Target="https://koshchai.com/" TargetMode="External" Id="rId907" /><Relationship Type="http://schemas.openxmlformats.org/officeDocument/2006/relationships/hyperlink" Target="https://koshchai.com/" TargetMode="External" Id="rId908" /><Relationship Type="http://schemas.openxmlformats.org/officeDocument/2006/relationships/hyperlink" Target="https://www.nodorestaurant.ca/" TargetMode="External" Id="rId909" /><Relationship Type="http://schemas.openxmlformats.org/officeDocument/2006/relationships/hyperlink" Target="https://www.nodorestaurant.ca/" TargetMode="External" Id="rId910" /><Relationship Type="http://schemas.openxmlformats.org/officeDocument/2006/relationships/hyperlink" Target="https://pukka.ca/" TargetMode="External" Id="rId911" /><Relationship Type="http://schemas.openxmlformats.org/officeDocument/2006/relationships/hyperlink" Target="https://instagram.com/pukkatoronto" TargetMode="External" Id="rId912" /><Relationship Type="http://schemas.openxmlformats.org/officeDocument/2006/relationships/hyperlink" Target="https://pukka.ca/" TargetMode="External" Id="rId913" /><Relationship Type="http://schemas.openxmlformats.org/officeDocument/2006/relationships/hyperlink" Target="https://puravidato.ca/" TargetMode="External" Id="rId914" /><Relationship Type="http://schemas.openxmlformats.org/officeDocument/2006/relationships/hyperlink" Target="https://instagram.com/puravidarestaurantto" TargetMode="External" Id="rId915" /><Relationship Type="http://schemas.openxmlformats.org/officeDocument/2006/relationships/hyperlink" Target="https://puravidato.ca/" TargetMode="External" Id="rId916" /><Relationship Type="http://schemas.openxmlformats.org/officeDocument/2006/relationships/hyperlink" Target="https://raahikitchen.com/" TargetMode="External" Id="rId917" /><Relationship Type="http://schemas.openxmlformats.org/officeDocument/2006/relationships/hyperlink" Target="https://instagram.com/raahikitchen" TargetMode="External" Id="rId918" /><Relationship Type="http://schemas.openxmlformats.org/officeDocument/2006/relationships/hyperlink" Target="https://raahikitchen.com/" TargetMode="External" Id="rId919" /><Relationship Type="http://schemas.openxmlformats.org/officeDocument/2006/relationships/hyperlink" Target="https://rio40restaurant.com/" TargetMode="External" Id="rId920" /><Relationship Type="http://schemas.openxmlformats.org/officeDocument/2006/relationships/hyperlink" Target="https://rio40restaurant.com/" TargetMode="External" Id="rId921" /><Relationship Type="http://schemas.openxmlformats.org/officeDocument/2006/relationships/hyperlink" Target="https://www.romisbakery.com/" TargetMode="External" Id="rId922" /><Relationship Type="http://schemas.openxmlformats.org/officeDocument/2006/relationships/hyperlink" Target="https://instagram.com/romis_to" TargetMode="External" Id="rId923" /><Relationship Type="http://schemas.openxmlformats.org/officeDocument/2006/relationships/hyperlink" Target="https://www.romisbakery.com/" TargetMode="External" Id="rId924" /><Relationship Type="http://schemas.openxmlformats.org/officeDocument/2006/relationships/hyperlink" Target="https://www.rosastoronto.com/" TargetMode="External" Id="rId925" /><Relationship Type="http://schemas.openxmlformats.org/officeDocument/2006/relationships/hyperlink" Target="https://instagram.com/rosastoronto" TargetMode="External" Id="rId926" /><Relationship Type="http://schemas.openxmlformats.org/officeDocument/2006/relationships/hyperlink" Target="https://www.rosastoronto.com/" TargetMode="External" Id="rId927" /><Relationship Type="http://schemas.openxmlformats.org/officeDocument/2006/relationships/hyperlink" Target="https://www.savortoronto.ca/" TargetMode="External" Id="rId928" /><Relationship Type="http://schemas.openxmlformats.org/officeDocument/2006/relationships/hyperlink" Target="https://instagram.com/savorthaito" TargetMode="External" Id="rId929" /><Relationship Type="http://schemas.openxmlformats.org/officeDocument/2006/relationships/hyperlink" Target="https://www.savortoronto.ca/" TargetMode="External" Id="rId930" /><Relationship Type="http://schemas.openxmlformats.org/officeDocument/2006/relationships/hyperlink" Target="https://therushton.com/" TargetMode="External" Id="rId931" /><Relationship Type="http://schemas.openxmlformats.org/officeDocument/2006/relationships/hyperlink" Target="https://therushton.com/" TargetMode="External" Id="rId932" /><Relationship Type="http://schemas.openxmlformats.org/officeDocument/2006/relationships/hyperlink" Target="https://www.solenabrunch.ca/" TargetMode="External" Id="rId933" /><Relationship Type="http://schemas.openxmlformats.org/officeDocument/2006/relationships/hyperlink" Target="https://instagram.com/solenabrunch" TargetMode="External" Id="rId934" /><Relationship Type="http://schemas.openxmlformats.org/officeDocument/2006/relationships/hyperlink" Target="https://www.solenabrunch.ca/" TargetMode="External" Id="rId935" /><Relationship Type="http://schemas.openxmlformats.org/officeDocument/2006/relationships/hyperlink" Target="https://xobisous.com/" TargetMode="External" Id="rId936" /><Relationship Type="http://schemas.openxmlformats.org/officeDocument/2006/relationships/hyperlink" Target="https://instagram.com/xobisous" TargetMode="External" Id="rId937" /><Relationship Type="http://schemas.openxmlformats.org/officeDocument/2006/relationships/hyperlink" Target="https://xobisous.com/" TargetMode="External" Id="rId938" /><Relationship Type="http://schemas.openxmlformats.org/officeDocument/2006/relationships/hyperlink" Target="https://bakerandscone.com/" TargetMode="External" Id="rId939" /><Relationship Type="http://schemas.openxmlformats.org/officeDocument/2006/relationships/hyperlink" Target="https://instagram.com/bakerandscone" TargetMode="External" Id="rId940" /><Relationship Type="http://schemas.openxmlformats.org/officeDocument/2006/relationships/hyperlink" Target="https://bakerandscone.com/" TargetMode="External" Id="rId941" /><Relationship Type="http://schemas.openxmlformats.org/officeDocument/2006/relationships/hyperlink" Target="https://www.fleurdujour.ca/" TargetMode="External" Id="rId942" /><Relationship Type="http://schemas.openxmlformats.org/officeDocument/2006/relationships/hyperlink" Target="https://instagram.com/fleurdujourpatisserie" TargetMode="External" Id="rId943" /><Relationship Type="http://schemas.openxmlformats.org/officeDocument/2006/relationships/hyperlink" Target="https://www.fleurdujour.ca/" TargetMode="External" Id="rId944" /><Relationship Type="http://schemas.openxmlformats.org/officeDocument/2006/relationships/hyperlink" Target="https://sheliss.com/" TargetMode="External" Id="rId945" /><Relationship Type="http://schemas.openxmlformats.org/officeDocument/2006/relationships/hyperlink" Target="https://sheliss.com/" TargetMode="External" Id="rId946" /><Relationship Type="http://schemas.openxmlformats.org/officeDocument/2006/relationships/hyperlink" Target="https://diaryofatorontogirl.com/distillery-district-restaurants/" TargetMode="External" Id="rId947" /><Relationship Type="http://schemas.openxmlformats.org/officeDocument/2006/relationships/hyperlink" Target="https://instagram.com/bokutoronto" TargetMode="External" Id="rId948" /><Relationship Type="http://schemas.openxmlformats.org/officeDocument/2006/relationships/hyperlink" Target="https://diaryofatorontogirl.com/distillery-district-restaurants/" TargetMode="External" Id="rId949" /><Relationship Type="http://schemas.openxmlformats.org/officeDocument/2006/relationships/hyperlink" Target="https://instagram.com/clunydistillery" TargetMode="External" Id="rId950" /><Relationship Type="http://schemas.openxmlformats.org/officeDocument/2006/relationships/hyperlink" Target="https://www.opentable.ca/neighborhood/toronto/distillery-district-restaurants" TargetMode="External" Id="rId951" /><Relationship Type="http://schemas.openxmlformats.org/officeDocument/2006/relationships/hyperlink" Target="https://instagram.com/elcatrinca" TargetMode="External" Id="rId952" /><Relationship Type="http://schemas.openxmlformats.org/officeDocument/2006/relationships/hyperlink" Target="https://www.opentable.ca/neighborhood/toronto/distillery-district-restaurants" TargetMode="External" Id="rId953" /><Relationship Type="http://schemas.openxmlformats.org/officeDocument/2006/relationships/hyperlink" Target="https://instagram.com/gusto501" TargetMode="External" Id="rId954" /><Relationship Type="http://schemas.openxmlformats.org/officeDocument/2006/relationships/hyperlink" Target="https://www.opentable.ca/toronto/king-east-restaurants" TargetMode="External" Id="rId955" /><Relationship Type="http://schemas.openxmlformats.org/officeDocument/2006/relationships/hyperlink" Target="https://instagram.com/madrina.to" TargetMode="External" Id="rId956" /><Relationship Type="http://schemas.openxmlformats.org/officeDocument/2006/relationships/hyperlink" Target="https://www.opentable.ca/neighborhood/toronto/distillery-district-restaurants" TargetMode="External" Id="rId957" /><Relationship Type="http://schemas.openxmlformats.org/officeDocument/2006/relationships/hyperlink" Target="https://instagram.com/spiritspure" TargetMode="External" Id="rId958" /><Relationship Type="http://schemas.openxmlformats.org/officeDocument/2006/relationships/hyperlink" Target="https://www.opentable.ca/neighborhood/toronto/distillery-district-restaurants" TargetMode="External" Id="rId959" /><Relationship Type="http://schemas.openxmlformats.org/officeDocument/2006/relationships/hyperlink" Target="https://www.opentable.ca/r/the-rosebud-toronto" TargetMode="External" Id="rId960" /><Relationship Type="http://schemas.openxmlformats.org/officeDocument/2006/relationships/hyperlink" Target="https://diaryofatorontogirl.com/distillery-district-restaurants/" TargetMode="External" Id="rId961" /><Relationship Type="http://schemas.openxmlformats.org/officeDocument/2006/relationships/hyperlink" Target="https://www.gotourscanada.com/coffee-shops-distillery-district-toronto/" TargetMode="External" Id="rId962" /><Relationship Type="http://schemas.openxmlformats.org/officeDocument/2006/relationships/hyperlink" Target="https://www.gotourscanada.com/coffee-shops-distillery-district-toronto/" TargetMode="External" Id="rId963" /><Relationship Type="http://schemas.openxmlformats.org/officeDocument/2006/relationships/hyperlink" Target="https://instagram.com/sweetescapes" TargetMode="External" Id="rId964" /><Relationship Type="http://schemas.openxmlformats.org/officeDocument/2006/relationships/hyperlink" Target="https://www.gotourscanada.com/coffee-shops-distillery-district-toronto/" TargetMode="External" Id="rId965" /><Relationship Type="http://schemas.openxmlformats.org/officeDocument/2006/relationships/hyperlink" Target="https://joinpearl.co/restaurants/toronto/avant-gout" TargetMode="External" Id="rId966" /><Relationship Type="http://schemas.openxmlformats.org/officeDocument/2006/relationships/hyperlink" Target="https://instagram.com/brownesbistro" TargetMode="External" Id="rId967" /><Relationship Type="http://schemas.openxmlformats.org/officeDocument/2006/relationships/hyperlink" Target="https://www.opentable.ca/neighborhood/toronto/rosedale-restaurants" TargetMode="External" Id="rId968" /><Relationship Type="http://schemas.openxmlformats.org/officeDocument/2006/relationships/hyperlink" Target="https://streetsoftoronto.com/food/restaurants/the-2026-michelin-stars-are-coming-this-september-heres-who-toronto-foodies-are-rooting-for/" TargetMode="External" Id="rId969" /><Relationship Type="http://schemas.openxmlformats.org/officeDocument/2006/relationships/hyperlink" Target="https://instagram.com/quantobastato" TargetMode="External" Id="rId970" /><Relationship Type="http://schemas.openxmlformats.org/officeDocument/2006/relationships/hyperlink" Target="https://www.opentable.ca/neighborhood/toronto/rosedale-restaurants" TargetMode="External" Id="rId971" /><Relationship Type="http://schemas.openxmlformats.org/officeDocument/2006/relationships/hyperlink" Target="https://www.opentable.ca/neighborhood/toronto/rosedale-restaurants" TargetMode="External" Id="rId972" /><Relationship Type="http://schemas.openxmlformats.org/officeDocument/2006/relationships/hyperlink" Target="https://streetsoftoronto.com/city/neighbourhood-crawl-summerhill-west-end-style-heads-to-midtown/" TargetMode="External" Id="rId973" /><Relationship Type="http://schemas.openxmlformats.org/officeDocument/2006/relationships/hyperlink" Target="https://whatnow.com/toronto/restaurants/justin-friedlich-opening-first-solo-restaurant-shay/" TargetMode="External" Id="rId974" /><Relationship Type="http://schemas.openxmlformats.org/officeDocument/2006/relationships/hyperlink" Target="https://www.opentable.ca/neighborhood/toronto/rosedale-restaurants" TargetMode="External" Id="rId975" /><Relationship Type="http://schemas.openxmlformats.org/officeDocument/2006/relationships/hyperlink" Target="https://guide.michelin.com/en/ontario/toronto/restaurant/taline" TargetMode="External" Id="rId976" /><Relationship Type="http://schemas.openxmlformats.org/officeDocument/2006/relationships/hyperlink" Target="https://streetsoftoronto.com/city/neighbourhood-crawl-summerhill-west-end-style-heads-to-midtown/" TargetMode="External" Id="rId977" /><Relationship Type="http://schemas.openxmlformats.org/officeDocument/2006/relationships/hyperlink" Target="https://www.opentable.ca/neighborhood/toronto/yonge-and-eglinton-restaurants" TargetMode="External" Id="rId978" /><Relationship Type="http://schemas.openxmlformats.org/officeDocument/2006/relationships/hyperlink" Target="https://www.opentable.ca/neighborhood/toronto/yonge-and-eglinton-restaurants" TargetMode="External" Id="rId979" /><Relationship Type="http://schemas.openxmlformats.org/officeDocument/2006/relationships/hyperlink" Target="https://instagram.com/instantdupalais" TargetMode="External" Id="rId980" /><Relationship Type="http://schemas.openxmlformats.org/officeDocument/2006/relationships/hyperlink" Target="https://streetsoftoronto.com/street-eats/instant-du-palais/" TargetMode="External" Id="rId981" /><Relationship Type="http://schemas.openxmlformats.org/officeDocument/2006/relationships/hyperlink" Target="https://www.opentable.ca/restaurant/profile/1380388" TargetMode="External" Id="rId982" /><Relationship Type="http://schemas.openxmlformats.org/officeDocument/2006/relationships/hyperlink" Target="https://nowtoronto.com/news/2026-michelin-guide-toronto-restaurants/" TargetMode="External" Id="rId983" /><Relationship Type="http://schemas.openxmlformats.org/officeDocument/2006/relationships/hyperlink" Target="https://www.opentable.ca/neighborhood/toronto/yonge-and-eglinton-restaurants" TargetMode="External" Id="rId984" /><Relationship Type="http://schemas.openxmlformats.org/officeDocument/2006/relationships/hyperlink" Target="https://ritual.co/guides/toronto-yonge-eglinton" TargetMode="External" Id="rId985" /><Relationship Type="http://schemas.openxmlformats.org/officeDocument/2006/relationships/hyperlink" Target="https://instagram.com/wild.chicory.to" TargetMode="External" Id="rId986" /><Relationship Type="http://schemas.openxmlformats.org/officeDocument/2006/relationships/hyperlink" Target="https://www.opentable.ca/neighborhood/toronto/yonge-and-eglinton-restaurants" TargetMode="External" Id="rId987" /><Relationship Type="http://schemas.openxmlformats.org/officeDocument/2006/relationships/hyperlink" Target="https://www.opentable.ca/restaurant/profile/1263214" TargetMode="External" Id="rId988" /><Relationship Type="http://schemas.openxmlformats.org/officeDocument/2006/relationships/hyperlink" Target="https://www.opentable.ca/neighborhood/toronto/yonge-and-eglinton-restaurants" TargetMode="External" Id="rId989" /><Relationship Type="http://schemas.openxmlformats.org/officeDocument/2006/relationships/hyperlink" Target="https://www.yelp.ca/search?cflt=breakfast_brunch&amp;find_loc=Yonge+and+Eglinton%2C+Toronto%2C+ON" TargetMode="External" Id="rId990" /><Relationship Type="http://schemas.openxmlformats.org/officeDocument/2006/relationships/hyperlink" Target="https://www.yelp.ca/search?cflt=breakfast_brunch&amp;find_loc=Yonge+and+Eglinton%2C+Toronto%2C+ON" TargetMode="External" Id="rId991" /><Relationship Type="http://schemas.openxmlformats.org/officeDocument/2006/relationships/hyperlink" Target="https://bayviewleasidebia.com/business-category/restaurants-bars-take-out/" TargetMode="External" Id="rId992" /><Relationship Type="http://schemas.openxmlformats.org/officeDocument/2006/relationships/hyperlink" Target="https://bayviewleasidebia.com/business-category/restaurants-bars-take-out/" TargetMode="External" Id="rId993" /><Relationship Type="http://schemas.openxmlformats.org/officeDocument/2006/relationships/hyperlink" Target="https://bayviewleasidebia.com/business-category/restaurants-bars-take-out/" TargetMode="External" Id="rId994" /><Relationship Type="http://schemas.openxmlformats.org/officeDocument/2006/relationships/hyperlink" Target="https://bayviewleasidebia.com/business-category/restaurants-bars-take-out/" TargetMode="External" Id="rId995" /><Relationship Type="http://schemas.openxmlformats.org/officeDocument/2006/relationships/hyperlink" Target="https://bayviewleasidebia.com/business-category/restaurants-bars-take-out/" TargetMode="External" Id="rId996" /><Relationship Type="http://schemas.openxmlformats.org/officeDocument/2006/relationships/hyperlink" Target="https://bayviewleasidebia.com/business-category/restaurants-bars-take-out/" TargetMode="External" Id="rId997" /><Relationship Type="http://schemas.openxmlformats.org/officeDocument/2006/relationships/hyperlink" Target="https://bayviewleasidebia.com/business-category/restaurants-bars-take-out/" TargetMode="External" Id="rId998" /><Relationship Type="http://schemas.openxmlformats.org/officeDocument/2006/relationships/hyperlink" Target="https://ritual.co/guides/toronto-leaside" TargetMode="External" Id="rId999" /><Relationship Type="http://schemas.openxmlformats.org/officeDocument/2006/relationships/hyperlink" Target="https://bayviewleasidebia.com/business-category/restaurants-bars-take-out/" TargetMode="External" Id="rId1000" /><Relationship Type="http://schemas.openxmlformats.org/officeDocument/2006/relationships/hyperlink" Target="https://bayviewleasidebia.com/business-category/restaurants-bars-take-out/" TargetMode="External" Id="rId1001" /><Relationship Type="http://schemas.openxmlformats.org/officeDocument/2006/relationships/hyperlink" Target="https://bayviewleasidebia.com/business-category/restaurants-bars-take-out/" TargetMode="External" Id="rId1002" /><Relationship Type="http://schemas.openxmlformats.org/officeDocument/2006/relationships/hyperlink" Target="https://bayviewleasidebia.com/business-category/bakery-dessert-cafe/" TargetMode="External" Id="rId1003" /><Relationship Type="http://schemas.openxmlformats.org/officeDocument/2006/relationships/hyperlink" Target="https://bayviewleasidebia.com/business-category/bakery-dessert-cafe/" TargetMode="External" Id="rId1004" /><Relationship Type="http://schemas.openxmlformats.org/officeDocument/2006/relationships/hyperlink" Target="https://bayviewleasidebia.com/business-category/bakery-dessert-cafe/" TargetMode="External" Id="rId1005" /><Relationship Type="http://schemas.openxmlformats.org/officeDocument/2006/relationships/hyperlink" Target="https://www.hungryonion.org/t/greater-toronto-area-openings-of-2025/42384?page=4" TargetMode="External" Id="rId1006" /><Relationship Type="http://schemas.openxmlformats.org/officeDocument/2006/relationships/hyperlink" Target="https://www.opentable.com/neighborhood/n/toronto/leslieville-riverdale-restaurants" TargetMode="External" Id="rId1007" /><Relationship Type="http://schemas.openxmlformats.org/officeDocument/2006/relationships/hyperlink" Target="https://www.opentable.com/neighborhood/n/toronto/leslieville-riverdale-restaurants" TargetMode="External" Id="rId1008" /><Relationship Type="http://schemas.openxmlformats.org/officeDocument/2006/relationships/hyperlink" Target="https://spottedbylocals.com/toronto/lahore-tikka-house" TargetMode="External" Id="rId1009" /><Relationship Type="http://schemas.openxmlformats.org/officeDocument/2006/relationships/hyperlink" Target="https://tablejourney.com/neighborhood/toronto/little-india/" TargetMode="External" Id="rId1010" /><Relationship Type="http://schemas.openxmlformats.org/officeDocument/2006/relationships/hyperlink" Target="https://www.opentable.com/neighborhood/n/toronto/leslieville-riverdale-restaurants" TargetMode="External" Id="rId1011" /><Relationship Type="http://schemas.openxmlformats.org/officeDocument/2006/relationships/hyperlink" Target="https://instagram.com/wynonatoronto" TargetMode="External" Id="rId1012" /><Relationship Type="http://schemas.openxmlformats.org/officeDocument/2006/relationships/hyperlink" Target="https://streetsoftoronto.com/uncategorized/torontos-most-anticipated-restaurant-openings/" TargetMode="External" Id="rId1013" /><Relationship Type="http://schemas.openxmlformats.org/officeDocument/2006/relationships/hyperlink" Target="https://instagram.com/est.restaurant" TargetMode="External" Id="rId1014" /><Relationship Type="http://schemas.openxmlformats.org/officeDocument/2006/relationships/hyperlink" Target="https://www.opentable.com/neighborhood/n/toronto/leslieville-riverdale-restaurants" TargetMode="External" Id="rId1015" /><Relationship Type="http://schemas.openxmlformats.org/officeDocument/2006/relationships/hyperlink" Target="https://www.tastetoronto.com/guides/the-best-brunch-in-toronto-by-neighbourhood" TargetMode="External" Id="rId1016" /><Relationship Type="http://schemas.openxmlformats.org/officeDocument/2006/relationships/hyperlink" Target="https://spottedbylocals.com/toronto/mahas-egyptian-brunch" TargetMode="External" Id="rId1017" /><Relationship Type="http://schemas.openxmlformats.org/officeDocument/2006/relationships/hyperlink" Target="https://instagram.com/whitelilydiner" TargetMode="External" Id="rId1018" /><Relationship Type="http://schemas.openxmlformats.org/officeDocument/2006/relationships/hyperlink" Target="https://riverside-to.com/must-try-brunch-spots-in-toronto-riverside/" TargetMode="External" Id="rId1019" /><Relationship Type="http://schemas.openxmlformats.org/officeDocument/2006/relationships/hyperlink" Target="https://instagram.com/bonjour_brioche" TargetMode="External" Id="rId1020" /><Relationship Type="http://schemas.openxmlformats.org/officeDocument/2006/relationships/hyperlink" Target="https://riverside-to.com/must-try-brunch-spots-in-toronto-riverside/" TargetMode="External" Id="rId10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The 6 Pass · partner pipeline</t>
        </is>
      </c>
    </row>
    <row r="2">
      <c r="A2" s="2" t="inlineStr">
        <is>
          <t>441 places to approach, researched October 2026 from public sources. Counts below update by themselves.</t>
        </is>
      </c>
    </row>
    <row r="4">
      <c r="A4" s="3" t="inlineStr">
        <is>
          <t>How to use it</t>
        </is>
      </c>
    </row>
    <row r="5">
      <c r="A5" s="4" t="inlineStr">
        <is>
          <t>1. Work one neighbourhood at a time. Wave 1 is the six launch neighbourhoods; start with Ossington.</t>
        </is>
      </c>
    </row>
    <row r="6">
      <c r="A6" s="4" t="inlineStr">
        <is>
          <t>2. Before walking in, check the place is still open (Open? column). Some rows note weak online evidence.</t>
        </is>
      </c>
    </row>
    <row r="7">
      <c r="A7" s="4" t="inlineStr">
        <is>
          <t>3. Every row you touch gets a Status, a Next step and a Next step date. Overdue dates turn red.</t>
        </is>
      </c>
    </row>
    <row r="8">
      <c r="A8" s="4" t="inlineStr">
        <is>
          <t>4. Write their slow nights and offer idea as you hear them. That becomes their offer in the app.</t>
        </is>
      </c>
    </row>
    <row r="9">
      <c r="A9" s="4" t="inlineStr">
        <is>
          <t>5. Be picky: we need 50 Founding Partners, not 300. A 'Not now' with a reason is a good outcome.</t>
        </is>
      </c>
    </row>
    <row r="10">
      <c r="A10" s="4" t="inlineStr">
        <is>
          <t>Contacts are blank on purpose: ask for the owner or general manager in person, then fill them in.</t>
        </is>
      </c>
    </row>
    <row r="13">
      <c r="A13" s="5" t="inlineStr">
        <is>
          <t>By status</t>
        </is>
      </c>
    </row>
    <row r="14">
      <c r="A14" t="inlineStr">
        <is>
          <t>Target</t>
        </is>
      </c>
      <c r="B14">
        <f>COUNTIF(Pipeline!N:N,"Target")</f>
        <v/>
      </c>
    </row>
    <row r="15">
      <c r="A15" t="inlineStr">
        <is>
          <t>Contacted</t>
        </is>
      </c>
      <c r="B15">
        <f>COUNTIF(Pipeline!N:N,"Contacted")</f>
        <v/>
      </c>
    </row>
    <row r="16">
      <c r="A16" t="inlineStr">
        <is>
          <t>Meeting booked</t>
        </is>
      </c>
      <c r="B16">
        <f>COUNTIF(Pipeline!N:N,"Meeting booked")</f>
        <v/>
      </c>
    </row>
    <row r="17">
      <c r="A17" t="inlineStr">
        <is>
          <t>Met</t>
        </is>
      </c>
      <c r="B17">
        <f>COUNTIF(Pipeline!N:N,"Met")</f>
        <v/>
      </c>
    </row>
    <row r="18">
      <c r="A18" t="inlineStr">
        <is>
          <t>LOI signed</t>
        </is>
      </c>
      <c r="B18">
        <f>COUNTIF(Pipeline!N:N,"LOI signed")</f>
        <v/>
      </c>
    </row>
    <row r="19">
      <c r="A19" t="inlineStr">
        <is>
          <t>Agreement signed</t>
        </is>
      </c>
      <c r="B19">
        <f>COUNTIF(Pipeline!N:N,"Agreement signed")</f>
        <v/>
      </c>
    </row>
    <row r="20">
      <c r="A20" t="inlineStr">
        <is>
          <t>Not now</t>
        </is>
      </c>
      <c r="B20">
        <f>COUNTIF(Pipeline!N:N,"Not now")</f>
        <v/>
      </c>
    </row>
    <row r="21">
      <c r="A21" s="6" t="inlineStr">
        <is>
          <t>Goal for the first week: 10 conversations, 5 demos, 2 letters of intent.</t>
        </is>
      </c>
    </row>
    <row r="23">
      <c r="A23" s="7" t="inlineStr">
        <is>
          <t>Neighbourhood</t>
        </is>
      </c>
      <c r="B23" s="7" t="inlineStr">
        <is>
          <t>Places</t>
        </is>
      </c>
      <c r="C23" s="7" t="inlineStr">
        <is>
          <t>Contacted+</t>
        </is>
      </c>
      <c r="D23" s="7" t="inlineStr">
        <is>
          <t>Met</t>
        </is>
      </c>
      <c r="E23" s="7" t="inlineStr">
        <is>
          <t>LOI signed</t>
        </is>
      </c>
      <c r="F23" s="7" t="inlineStr">
        <is>
          <t>Signed</t>
        </is>
      </c>
    </row>
    <row r="24">
      <c r="A24" s="8" t="inlineStr">
        <is>
          <t>Ossington  (wave 1)</t>
        </is>
      </c>
      <c r="B24">
        <f>COUNTIF(Pipeline!D:D,"Ossington")</f>
        <v/>
      </c>
      <c r="C24">
        <f>COUNTIFS(Pipeline!D:D,"Ossington",Pipeline!N:N,"&lt;&gt;Target",Pipeline!N:N,"&lt;&gt;")</f>
        <v/>
      </c>
      <c r="D24">
        <f>COUNTIFS(Pipeline!D:D,"Ossington",Pipeline!N:N,"Met")</f>
        <v/>
      </c>
      <c r="E24">
        <f>COUNTIFS(Pipeline!D:D,"Ossington",Pipeline!N:N,"LOI signed")</f>
        <v/>
      </c>
      <c r="F24">
        <f>COUNTIFS(Pipeline!D:D,"Ossington",Pipeline!N:N,"Agreement signed")</f>
        <v/>
      </c>
    </row>
    <row r="25">
      <c r="A25" s="8" t="inlineStr">
        <is>
          <t>Queen West  (wave 1)</t>
        </is>
      </c>
      <c r="B25">
        <f>COUNTIF(Pipeline!D:D,"Queen West")</f>
        <v/>
      </c>
      <c r="C25">
        <f>COUNTIFS(Pipeline!D:D,"Queen West",Pipeline!N:N,"&lt;&gt;Target",Pipeline!N:N,"&lt;&gt;")</f>
        <v/>
      </c>
      <c r="D25">
        <f>COUNTIFS(Pipeline!D:D,"Queen West",Pipeline!N:N,"Met")</f>
        <v/>
      </c>
      <c r="E25">
        <f>COUNTIFS(Pipeline!D:D,"Queen West",Pipeline!N:N,"LOI signed")</f>
        <v/>
      </c>
      <c r="F25">
        <f>COUNTIFS(Pipeline!D:D,"Queen West",Pipeline!N:N,"Agreement signed")</f>
        <v/>
      </c>
    </row>
    <row r="26">
      <c r="A26" s="8" t="inlineStr">
        <is>
          <t>King West  (wave 1)</t>
        </is>
      </c>
      <c r="B26">
        <f>COUNTIF(Pipeline!D:D,"King West")</f>
        <v/>
      </c>
      <c r="C26">
        <f>COUNTIFS(Pipeline!D:D,"King West",Pipeline!N:N,"&lt;&gt;Target",Pipeline!N:N,"&lt;&gt;")</f>
        <v/>
      </c>
      <c r="D26">
        <f>COUNTIFS(Pipeline!D:D,"King West",Pipeline!N:N,"Met")</f>
        <v/>
      </c>
      <c r="E26">
        <f>COUNTIFS(Pipeline!D:D,"King West",Pipeline!N:N,"LOI signed")</f>
        <v/>
      </c>
      <c r="F26">
        <f>COUNTIFS(Pipeline!D:D,"King West",Pipeline!N:N,"Agreement signed")</f>
        <v/>
      </c>
    </row>
    <row r="27">
      <c r="A27" s="8" t="inlineStr">
        <is>
          <t>Financial District  (wave 1)</t>
        </is>
      </c>
      <c r="B27">
        <f>COUNTIF(Pipeline!D:D,"Financial District")</f>
        <v/>
      </c>
      <c r="C27">
        <f>COUNTIFS(Pipeline!D:D,"Financial District",Pipeline!N:N,"&lt;&gt;Target",Pipeline!N:N,"&lt;&gt;")</f>
        <v/>
      </c>
      <c r="D27">
        <f>COUNTIFS(Pipeline!D:D,"Financial District",Pipeline!N:N,"Met")</f>
        <v/>
      </c>
      <c r="E27">
        <f>COUNTIFS(Pipeline!D:D,"Financial District",Pipeline!N:N,"LOI signed")</f>
        <v/>
      </c>
      <c r="F27">
        <f>COUNTIFS(Pipeline!D:D,"Financial District",Pipeline!N:N,"Agreement signed")</f>
        <v/>
      </c>
    </row>
    <row r="28">
      <c r="A28" s="8" t="inlineStr">
        <is>
          <t>Yorkville  (wave 1)</t>
        </is>
      </c>
      <c r="B28">
        <f>COUNTIF(Pipeline!D:D,"Yorkville")</f>
        <v/>
      </c>
      <c r="C28">
        <f>COUNTIFS(Pipeline!D:D,"Yorkville",Pipeline!N:N,"&lt;&gt;Target",Pipeline!N:N,"&lt;&gt;")</f>
        <v/>
      </c>
      <c r="D28">
        <f>COUNTIFS(Pipeline!D:D,"Yorkville",Pipeline!N:N,"Met")</f>
        <v/>
      </c>
      <c r="E28">
        <f>COUNTIFS(Pipeline!D:D,"Yorkville",Pipeline!N:N,"LOI signed")</f>
        <v/>
      </c>
      <c r="F28">
        <f>COUNTIFS(Pipeline!D:D,"Yorkville",Pipeline!N:N,"Agreement signed")</f>
        <v/>
      </c>
    </row>
    <row r="29">
      <c r="A29" s="8" t="inlineStr">
        <is>
          <t>Leslieville  (wave 1)</t>
        </is>
      </c>
      <c r="B29">
        <f>COUNTIF(Pipeline!D:D,"Leslieville")</f>
        <v/>
      </c>
      <c r="C29">
        <f>COUNTIFS(Pipeline!D:D,"Leslieville",Pipeline!N:N,"&lt;&gt;Target",Pipeline!N:N,"&lt;&gt;")</f>
        <v/>
      </c>
      <c r="D29">
        <f>COUNTIFS(Pipeline!D:D,"Leslieville",Pipeline!N:N,"Met")</f>
        <v/>
      </c>
      <c r="E29">
        <f>COUNTIFS(Pipeline!D:D,"Leslieville",Pipeline!N:N,"LOI signed")</f>
        <v/>
      </c>
      <c r="F29">
        <f>COUNTIFS(Pipeline!D:D,"Leslieville",Pipeline!N:N,"Agreement signed")</f>
        <v/>
      </c>
    </row>
    <row r="30">
      <c r="A30" t="inlineStr">
        <is>
          <t>Little Italy</t>
        </is>
      </c>
      <c r="B30">
        <f>COUNTIF(Pipeline!D:D,"Little Italy")</f>
        <v/>
      </c>
      <c r="C30">
        <f>COUNTIFS(Pipeline!D:D,"Little Italy",Pipeline!N:N,"&lt;&gt;Target",Pipeline!N:N,"&lt;&gt;")</f>
        <v/>
      </c>
      <c r="D30">
        <f>COUNTIFS(Pipeline!D:D,"Little Italy",Pipeline!N:N,"Met")</f>
        <v/>
      </c>
      <c r="E30">
        <f>COUNTIFS(Pipeline!D:D,"Little Italy",Pipeline!N:N,"LOI signed")</f>
        <v/>
      </c>
      <c r="F30">
        <f>COUNTIFS(Pipeline!D:D,"Little Italy",Pipeline!N:N,"Agreement signed")</f>
        <v/>
      </c>
    </row>
    <row r="31">
      <c r="A31" t="inlineStr">
        <is>
          <t>Kensington and Chinatown</t>
        </is>
      </c>
      <c r="B31">
        <f>COUNTIF(Pipeline!D:D,"Kensington and Chinatown")</f>
        <v/>
      </c>
      <c r="C31">
        <f>COUNTIFS(Pipeline!D:D,"Kensington and Chinatown",Pipeline!N:N,"&lt;&gt;Target",Pipeline!N:N,"&lt;&gt;")</f>
        <v/>
      </c>
      <c r="D31">
        <f>COUNTIFS(Pipeline!D:D,"Kensington and Chinatown",Pipeline!N:N,"Met")</f>
        <v/>
      </c>
      <c r="E31">
        <f>COUNTIFS(Pipeline!D:D,"Kensington and Chinatown",Pipeline!N:N,"LOI signed")</f>
        <v/>
      </c>
      <c r="F31">
        <f>COUNTIFS(Pipeline!D:D,"Kensington and Chinatown",Pipeline!N:N,"Agreement signed")</f>
        <v/>
      </c>
    </row>
    <row r="32">
      <c r="A32" t="inlineStr">
        <is>
          <t>The Annex</t>
        </is>
      </c>
      <c r="B32">
        <f>COUNTIF(Pipeline!D:D,"The Annex")</f>
        <v/>
      </c>
      <c r="C32">
        <f>COUNTIFS(Pipeline!D:D,"The Annex",Pipeline!N:N,"&lt;&gt;Target",Pipeline!N:N,"&lt;&gt;")</f>
        <v/>
      </c>
      <c r="D32">
        <f>COUNTIFS(Pipeline!D:D,"The Annex",Pipeline!N:N,"Met")</f>
        <v/>
      </c>
      <c r="E32">
        <f>COUNTIFS(Pipeline!D:D,"The Annex",Pipeline!N:N,"LOI signed")</f>
        <v/>
      </c>
      <c r="F32">
        <f>COUNTIFS(Pipeline!D:D,"The Annex",Pipeline!N:N,"Agreement signed")</f>
        <v/>
      </c>
    </row>
    <row r="33">
      <c r="A33" t="inlineStr">
        <is>
          <t>Roncesvalles</t>
        </is>
      </c>
      <c r="B33">
        <f>COUNTIF(Pipeline!D:D,"Roncesvalles")</f>
        <v/>
      </c>
      <c r="C33">
        <f>COUNTIFS(Pipeline!D:D,"Roncesvalles",Pipeline!N:N,"&lt;&gt;Target",Pipeline!N:N,"&lt;&gt;")</f>
        <v/>
      </c>
      <c r="D33">
        <f>COUNTIFS(Pipeline!D:D,"Roncesvalles",Pipeline!N:N,"Met")</f>
        <v/>
      </c>
      <c r="E33">
        <f>COUNTIFS(Pipeline!D:D,"Roncesvalles",Pipeline!N:N,"LOI signed")</f>
        <v/>
      </c>
      <c r="F33">
        <f>COUNTIFS(Pipeline!D:D,"Roncesvalles",Pipeline!N:N,"Agreement signed")</f>
        <v/>
      </c>
    </row>
    <row r="34">
      <c r="A34" t="inlineStr">
        <is>
          <t>Danforth</t>
        </is>
      </c>
      <c r="B34">
        <f>COUNTIF(Pipeline!D:D,"Danforth")</f>
        <v/>
      </c>
      <c r="C34">
        <f>COUNTIFS(Pipeline!D:D,"Danforth",Pipeline!N:N,"&lt;&gt;Target",Pipeline!N:N,"&lt;&gt;")</f>
        <v/>
      </c>
      <c r="D34">
        <f>COUNTIFS(Pipeline!D:D,"Danforth",Pipeline!N:N,"Met")</f>
        <v/>
      </c>
      <c r="E34">
        <f>COUNTIFS(Pipeline!D:D,"Danforth",Pipeline!N:N,"LOI signed")</f>
        <v/>
      </c>
      <c r="F34">
        <f>COUNTIFS(Pipeline!D:D,"Danforth",Pipeline!N:N,"Agreement signed")</f>
        <v/>
      </c>
    </row>
    <row r="35">
      <c r="A35" t="inlineStr">
        <is>
          <t>Liberty Village</t>
        </is>
      </c>
      <c r="B35">
        <f>COUNTIF(Pipeline!D:D,"Liberty Village")</f>
        <v/>
      </c>
      <c r="C35">
        <f>COUNTIFS(Pipeline!D:D,"Liberty Village",Pipeline!N:N,"&lt;&gt;Target",Pipeline!N:N,"&lt;&gt;")</f>
        <v/>
      </c>
      <c r="D35">
        <f>COUNTIFS(Pipeline!D:D,"Liberty Village",Pipeline!N:N,"Met")</f>
        <v/>
      </c>
      <c r="E35">
        <f>COUNTIFS(Pipeline!D:D,"Liberty Village",Pipeline!N:N,"LOI signed")</f>
        <v/>
      </c>
      <c r="F35">
        <f>COUNTIFS(Pipeline!D:D,"Liberty Village",Pipeline!N:N,"Agreement signed")</f>
        <v/>
      </c>
    </row>
    <row r="36">
      <c r="A36" t="inlineStr">
        <is>
          <t>Little Portugal</t>
        </is>
      </c>
      <c r="B36">
        <f>COUNTIF(Pipeline!D:D,"Little Portugal")</f>
        <v/>
      </c>
      <c r="C36">
        <f>COUNTIFS(Pipeline!D:D,"Little Portugal",Pipeline!N:N,"&lt;&gt;Target",Pipeline!N:N,"&lt;&gt;")</f>
        <v/>
      </c>
      <c r="D36">
        <f>COUNTIFS(Pipeline!D:D,"Little Portugal",Pipeline!N:N,"Met")</f>
        <v/>
      </c>
      <c r="E36">
        <f>COUNTIFS(Pipeline!D:D,"Little Portugal",Pipeline!N:N,"LOI signed")</f>
        <v/>
      </c>
      <c r="F36">
        <f>COUNTIFS(Pipeline!D:D,"Little Portugal",Pipeline!N:N,"Agreement signed")</f>
        <v/>
      </c>
    </row>
    <row r="37">
      <c r="A37" t="inlineStr">
        <is>
          <t>Parkdale</t>
        </is>
      </c>
      <c r="B37">
        <f>COUNTIF(Pipeline!D:D,"Parkdale")</f>
        <v/>
      </c>
      <c r="C37">
        <f>COUNTIFS(Pipeline!D:D,"Parkdale",Pipeline!N:N,"&lt;&gt;Target",Pipeline!N:N,"&lt;&gt;")</f>
        <v/>
      </c>
      <c r="D37">
        <f>COUNTIFS(Pipeline!D:D,"Parkdale",Pipeline!N:N,"Met")</f>
        <v/>
      </c>
      <c r="E37">
        <f>COUNTIFS(Pipeline!D:D,"Parkdale",Pipeline!N:N,"LOI signed")</f>
        <v/>
      </c>
      <c r="F37">
        <f>COUNTIFS(Pipeline!D:D,"Parkdale",Pipeline!N:N,"Agreement signed")</f>
        <v/>
      </c>
    </row>
    <row r="38">
      <c r="A38" t="inlineStr">
        <is>
          <t>The Junction</t>
        </is>
      </c>
      <c r="B38">
        <f>COUNTIF(Pipeline!D:D,"The Junction")</f>
        <v/>
      </c>
      <c r="C38">
        <f>COUNTIFS(Pipeline!D:D,"The Junction",Pipeline!N:N,"&lt;&gt;Target",Pipeline!N:N,"&lt;&gt;")</f>
        <v/>
      </c>
      <c r="D38">
        <f>COUNTIFS(Pipeline!D:D,"The Junction",Pipeline!N:N,"Met")</f>
        <v/>
      </c>
      <c r="E38">
        <f>COUNTIFS(Pipeline!D:D,"The Junction",Pipeline!N:N,"LOI signed")</f>
        <v/>
      </c>
      <c r="F38">
        <f>COUNTIFS(Pipeline!D:D,"The Junction",Pipeline!N:N,"Agreement signed")</f>
        <v/>
      </c>
    </row>
    <row r="39">
      <c r="A39" t="inlineStr">
        <is>
          <t>St. Clair West</t>
        </is>
      </c>
      <c r="B39">
        <f>COUNTIF(Pipeline!D:D,"St. Clair West")</f>
        <v/>
      </c>
      <c r="C39">
        <f>COUNTIFS(Pipeline!D:D,"St. Clair West",Pipeline!N:N,"&lt;&gt;Target",Pipeline!N:N,"&lt;&gt;")</f>
        <v/>
      </c>
      <c r="D39">
        <f>COUNTIFS(Pipeline!D:D,"St. Clair West",Pipeline!N:N,"Met")</f>
        <v/>
      </c>
      <c r="E39">
        <f>COUNTIFS(Pipeline!D:D,"St. Clair West",Pipeline!N:N,"LOI signed")</f>
        <v/>
      </c>
      <c r="F39">
        <f>COUNTIFS(Pipeline!D:D,"St. Clair West",Pipeline!N:N,"Agreement signed")</f>
        <v/>
      </c>
    </row>
    <row r="40">
      <c r="A40" t="inlineStr">
        <is>
          <t>Distillery and Corktown</t>
        </is>
      </c>
      <c r="B40">
        <f>COUNTIF(Pipeline!D:D,"Distillery and Corktown")</f>
        <v/>
      </c>
      <c r="C40">
        <f>COUNTIFS(Pipeline!D:D,"Distillery and Corktown",Pipeline!N:N,"&lt;&gt;Target",Pipeline!N:N,"&lt;&gt;")</f>
        <v/>
      </c>
      <c r="D40">
        <f>COUNTIFS(Pipeline!D:D,"Distillery and Corktown",Pipeline!N:N,"Met")</f>
        <v/>
      </c>
      <c r="E40">
        <f>COUNTIFS(Pipeline!D:D,"Distillery and Corktown",Pipeline!N:N,"LOI signed")</f>
        <v/>
      </c>
      <c r="F40">
        <f>COUNTIFS(Pipeline!D:D,"Distillery and Corktown",Pipeline!N:N,"Agreement signed")</f>
        <v/>
      </c>
    </row>
    <row r="41">
      <c r="A41" t="inlineStr">
        <is>
          <t>Summerhill and Rosedale</t>
        </is>
      </c>
      <c r="B41">
        <f>COUNTIF(Pipeline!D:D,"Summerhill and Rosedale")</f>
        <v/>
      </c>
      <c r="C41">
        <f>COUNTIFS(Pipeline!D:D,"Summerhill and Rosedale",Pipeline!N:N,"&lt;&gt;Target",Pipeline!N:N,"&lt;&gt;")</f>
        <v/>
      </c>
      <c r="D41">
        <f>COUNTIFS(Pipeline!D:D,"Summerhill and Rosedale",Pipeline!N:N,"Met")</f>
        <v/>
      </c>
      <c r="E41">
        <f>COUNTIFS(Pipeline!D:D,"Summerhill and Rosedale",Pipeline!N:N,"LOI signed")</f>
        <v/>
      </c>
      <c r="F41">
        <f>COUNTIFS(Pipeline!D:D,"Summerhill and Rosedale",Pipeline!N:N,"Agreement signed")</f>
        <v/>
      </c>
    </row>
    <row r="42">
      <c r="A42" t="inlineStr">
        <is>
          <t>Midtown</t>
        </is>
      </c>
      <c r="B42">
        <f>COUNTIF(Pipeline!D:D,"Midtown")</f>
        <v/>
      </c>
      <c r="C42">
        <f>COUNTIFS(Pipeline!D:D,"Midtown",Pipeline!N:N,"&lt;&gt;Target",Pipeline!N:N,"&lt;&gt;")</f>
        <v/>
      </c>
      <c r="D42">
        <f>COUNTIFS(Pipeline!D:D,"Midtown",Pipeline!N:N,"Met")</f>
        <v/>
      </c>
      <c r="E42">
        <f>COUNTIFS(Pipeline!D:D,"Midtown",Pipeline!N:N,"LOI signed")</f>
        <v/>
      </c>
      <c r="F42">
        <f>COUNTIFS(Pipeline!D:D,"Midtown",Pipeline!N:N,"Agreement signed")</f>
        <v/>
      </c>
    </row>
    <row r="43">
      <c r="A43" t="inlineStr">
        <is>
          <t>Leaside</t>
        </is>
      </c>
      <c r="B43">
        <f>COUNTIF(Pipeline!D:D,"Leaside")</f>
        <v/>
      </c>
      <c r="C43">
        <f>COUNTIFS(Pipeline!D:D,"Leaside",Pipeline!N:N,"&lt;&gt;Target",Pipeline!N:N,"&lt;&gt;")</f>
        <v/>
      </c>
      <c r="D43">
        <f>COUNTIFS(Pipeline!D:D,"Leaside",Pipeline!N:N,"Met")</f>
        <v/>
      </c>
      <c r="E43">
        <f>COUNTIFS(Pipeline!D:D,"Leaside",Pipeline!N:N,"LOI signed")</f>
        <v/>
      </c>
      <c r="F43">
        <f>COUNTIFS(Pipeline!D:D,"Leaside",Pipeline!N:N,"Agreement signed")</f>
        <v/>
      </c>
    </row>
    <row r="44">
      <c r="A44" t="inlineStr">
        <is>
          <t>Riverdale</t>
        </is>
      </c>
      <c r="B44">
        <f>COUNTIF(Pipeline!D:D,"Riverdale")</f>
        <v/>
      </c>
      <c r="C44">
        <f>COUNTIFS(Pipeline!D:D,"Riverdale",Pipeline!N:N,"&lt;&gt;Target",Pipeline!N:N,"&lt;&gt;")</f>
        <v/>
      </c>
      <c r="D44">
        <f>COUNTIFS(Pipeline!D:D,"Riverdale",Pipeline!N:N,"Met")</f>
        <v/>
      </c>
      <c r="E44">
        <f>COUNTIFS(Pipeline!D:D,"Riverdale",Pipeline!N:N,"LOI signed")</f>
        <v/>
      </c>
      <c r="F44">
        <f>COUNTIFS(Pipeline!D:D,"Riverdale",Pipeline!N:N,"Agreement signed")</f>
        <v/>
      </c>
    </row>
    <row r="45">
      <c r="A45" s="8" t="inlineStr">
        <is>
          <t>Total</t>
        </is>
      </c>
      <c r="B45" s="8">
        <f>SUM(B24:B44)</f>
        <v/>
      </c>
      <c r="C45" s="8">
        <f>SUM(C24:C44)</f>
        <v/>
      </c>
      <c r="D45" s="8">
        <f>SUM(D24:D44)</f>
        <v/>
      </c>
      <c r="E45" s="8">
        <f>SUM(E24:E44)</f>
        <v/>
      </c>
      <c r="F45" s="8">
        <f>SUM(F24:F44)</f>
        <v/>
      </c>
    </row>
    <row r="47">
      <c r="A47" s="5" t="inlineStr">
        <is>
          <t>By category</t>
        </is>
      </c>
    </row>
    <row r="48">
      <c r="A48" t="inlineStr">
        <is>
          <t>Restaurant</t>
        </is>
      </c>
      <c r="B48">
        <f>COUNTIF(Pipeline!E:E,"Restaurant")</f>
        <v/>
      </c>
    </row>
    <row r="49">
      <c r="A49" t="inlineStr">
        <is>
          <t>Brunch</t>
        </is>
      </c>
      <c r="B49">
        <f>COUNTIF(Pipeline!E:E,"Brunch")</f>
        <v/>
      </c>
    </row>
    <row r="50">
      <c r="A50" t="inlineStr">
        <is>
          <t>Café</t>
        </is>
      </c>
      <c r="B50">
        <f>COUNTIF(Pipeline!E:E,"Café")</f>
        <v/>
      </c>
    </row>
    <row r="51">
      <c r="A51" t="inlineStr">
        <is>
          <t>Bakery</t>
        </is>
      </c>
      <c r="B51">
        <f>COUNTIF(Pipeline!E:E,"Bakery")</f>
        <v/>
      </c>
    </row>
    <row r="52">
      <c r="A52" t="inlineStr">
        <is>
          <t>Spa</t>
        </is>
      </c>
      <c r="B52">
        <f>COUNTIF(Pipeline!E:E,"Spa")</f>
        <v/>
      </c>
    </row>
    <row r="53">
      <c r="A53" t="inlineStr">
        <is>
          <t>Studio</t>
        </is>
      </c>
      <c r="B53">
        <f>COUNTIF(Pipeline!E:E,"Studio")</f>
        <v/>
      </c>
    </row>
    <row r="54">
      <c r="A54" t="inlineStr">
        <is>
          <t>Hotel restaurant or spa</t>
        </is>
      </c>
      <c r="B54">
        <f>COUNTIF(Pipeline!E:E,"Hotel restaurant or spa")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8" customWidth="1" min="3" max="3"/>
    <col width="20" customWidth="1" min="4" max="4"/>
    <col width="14" customWidth="1" min="5" max="5"/>
    <col width="20" customWidth="1" min="6" max="6"/>
    <col width="30" customWidth="1" min="7" max="7"/>
    <col width="28" customWidth="1" min="8" max="8"/>
    <col width="18" customWidth="1" min="9" max="9"/>
    <col width="15" customWidth="1" min="10" max="10"/>
    <col width="7" customWidth="1" min="11" max="11"/>
    <col width="48" customWidth="1" min="12" max="12"/>
    <col width="15" customWidth="1" min="13" max="13"/>
    <col width="16" customWidth="1" min="14" max="14"/>
    <col width="18" customWidth="1" min="15" max="15"/>
    <col width="12" customWidth="1" min="16" max="16"/>
    <col width="24" customWidth="1" min="17" max="17"/>
    <col width="15" customWidth="1" min="18" max="18"/>
    <col width="12" customWidth="1" min="19" max="19"/>
    <col width="26" customWidth="1" min="20" max="20"/>
    <col width="13" customWidth="1" min="21" max="21"/>
    <col width="14" customWidth="1" min="22" max="22"/>
    <col width="26" customWidth="1" min="23" max="23"/>
    <col width="34" customWidth="1" min="24" max="24"/>
    <col width="30" customWidth="1" min="25" max="25"/>
  </cols>
  <sheetData>
    <row r="1" ht="30" customHeight="1">
      <c r="A1" s="9" t="inlineStr">
        <is>
          <t>#</t>
        </is>
      </c>
      <c r="B1" s="9" t="inlineStr">
        <is>
          <t>Wave</t>
        </is>
      </c>
      <c r="C1" s="9" t="inlineStr">
        <is>
          <t>Place</t>
        </is>
      </c>
      <c r="D1" s="9" t="inlineStr">
        <is>
          <t>Neighbourhood</t>
        </is>
      </c>
      <c r="E1" s="9" t="inlineStr">
        <is>
          <t>Category</t>
        </is>
      </c>
      <c r="F1" s="9" t="inlineStr">
        <is>
          <t>Cuisine or type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Instagram</t>
        </is>
      </c>
      <c r="J1" s="9" t="inlineStr">
        <is>
          <t>Phone</t>
        </is>
      </c>
      <c r="K1" s="9" t="inlineStr">
        <is>
          <t>Price</t>
        </is>
      </c>
      <c r="L1" s="9" t="inlineStr">
        <is>
          <t>Why it fits</t>
        </is>
      </c>
      <c r="M1" s="9" t="inlineStr">
        <is>
          <t>Open?</t>
        </is>
      </c>
      <c r="N1" s="9" t="inlineStr">
        <is>
          <t>Status</t>
        </is>
      </c>
      <c r="O1" s="9" t="inlineStr">
        <is>
          <t>Contact name</t>
        </is>
      </c>
      <c r="P1" s="9" t="inlineStr">
        <is>
          <t>Role</t>
        </is>
      </c>
      <c r="Q1" s="9" t="inlineStr">
        <is>
          <t>Contact email or phone</t>
        </is>
      </c>
      <c r="R1" s="9" t="inlineStr">
        <is>
          <t>How we know them</t>
        </is>
      </c>
      <c r="S1" s="9" t="inlineStr">
        <is>
          <t>Last contact</t>
        </is>
      </c>
      <c r="T1" s="9" t="inlineStr">
        <is>
          <t>Next step</t>
        </is>
      </c>
      <c r="U1" s="9" t="inlineStr">
        <is>
          <t>Next step date</t>
        </is>
      </c>
      <c r="V1" s="9" t="inlineStr">
        <is>
          <t>Slow nights</t>
        </is>
      </c>
      <c r="W1" s="9" t="inlineStr">
        <is>
          <t>Offer idea</t>
        </is>
      </c>
      <c r="X1" s="9" t="inlineStr">
        <is>
          <t>Notes</t>
        </is>
      </c>
      <c r="Y1" s="9" t="inlineStr">
        <is>
          <t>Source</t>
        </is>
      </c>
    </row>
    <row r="2">
      <c r="A2" s="10" t="n">
        <v>1</v>
      </c>
      <c r="B2" s="10" t="n">
        <v>1</v>
      </c>
      <c r="C2" s="11" t="inlineStr">
        <is>
          <t>Actinolite</t>
        </is>
      </c>
      <c r="D2" s="10" t="inlineStr">
        <is>
          <t>Ossington</t>
        </is>
      </c>
      <c r="E2" s="10" t="inlineStr">
        <is>
          <t>Restaurant</t>
        </is>
      </c>
      <c r="F2" s="10" t="inlineStr">
        <is>
          <t>Contemporary Canadian tasting menu</t>
        </is>
      </c>
      <c r="G2" s="10" t="inlineStr">
        <is>
          <t>971 Ossington Ave</t>
        </is>
      </c>
      <c r="H2" s="12" t="inlineStr">
        <is>
          <t>https://www.actinoliterestaurant.com</t>
        </is>
      </c>
      <c r="I2" s="12" t="inlineStr">
        <is>
          <t>@actinoliterestaurant</t>
        </is>
      </c>
      <c r="J2" s="10" t="inlineStr">
        <is>
          <t>416-962-8943</t>
        </is>
      </c>
      <c r="K2" s="10" t="inlineStr">
        <is>
          <t>$$$$</t>
        </is>
      </c>
      <c r="L2" s="13" t="inlineStr">
        <is>
          <t>Seasonal tasting-menu room north of the strip, suits an upgrade-style offer.</t>
        </is>
      </c>
      <c r="M2" s="10" t="inlineStr">
        <is>
          <t>Not checked</t>
        </is>
      </c>
      <c r="N2" s="10" t="inlineStr">
        <is>
          <t>Target</t>
        </is>
      </c>
      <c r="S2" s="14" t="n"/>
      <c r="U2" s="14" t="n"/>
      <c r="X2" s="13" t="inlineStr"/>
      <c r="Y2" s="12" t="inlineStr">
        <is>
          <t>https://guide.michelin.com/ca/en/ontario/toronto/restaurant/actinolite</t>
        </is>
      </c>
    </row>
    <row r="3">
      <c r="A3" s="10" t="n">
        <v>2</v>
      </c>
      <c r="B3" s="10" t="n">
        <v>1</v>
      </c>
      <c r="C3" s="11" t="inlineStr">
        <is>
          <t>Antler</t>
        </is>
      </c>
      <c r="D3" s="10" t="inlineStr">
        <is>
          <t>Ossington</t>
        </is>
      </c>
      <c r="E3" s="10" t="inlineStr">
        <is>
          <t>Restaurant</t>
        </is>
      </c>
      <c r="F3" s="10" t="inlineStr">
        <is>
          <t>Wild and foraged Canadian</t>
        </is>
      </c>
      <c r="G3" s="10" t="inlineStr">
        <is>
          <t>1454 Dundas St W</t>
        </is>
      </c>
      <c r="H3" s="12" t="inlineStr">
        <is>
          <t>https://www.antlerkitchenbar.com</t>
        </is>
      </c>
      <c r="I3" s="12" t="inlineStr">
        <is>
          <t>@antlerkitchenbar</t>
        </is>
      </c>
      <c r="J3" s="10" t="inlineStr">
        <is>
          <t>647-345-8300</t>
        </is>
      </c>
      <c r="K3" s="10" t="inlineStr">
        <is>
          <t>$$$</t>
        </is>
      </c>
      <c r="L3" s="13" t="inlineStr">
        <is>
          <t>Game and foraged menu, a bit further west on Dundas.</t>
        </is>
      </c>
      <c r="M3" s="10" t="inlineStr">
        <is>
          <t>Not checked</t>
        </is>
      </c>
      <c r="N3" s="10" t="inlineStr">
        <is>
          <t>Target</t>
        </is>
      </c>
      <c r="S3" s="14" t="n"/>
      <c r="U3" s="14" t="n"/>
      <c r="X3" s="13" t="inlineStr"/>
      <c r="Y3" s="12" t="inlineStr">
        <is>
          <t>https://guide.michelin.com/ca/en/ontario/toronto/restaurant/antler</t>
        </is>
      </c>
    </row>
    <row r="4">
      <c r="A4" s="10" t="n">
        <v>3</v>
      </c>
      <c r="B4" s="10" t="n">
        <v>1</v>
      </c>
      <c r="C4" s="11" t="inlineStr">
        <is>
          <t>Azhar Kitchen &amp; Bar</t>
        </is>
      </c>
      <c r="D4" s="10" t="inlineStr">
        <is>
          <t>Ossington</t>
        </is>
      </c>
      <c r="E4" s="10" t="inlineStr">
        <is>
          <t>Restaurant</t>
        </is>
      </c>
      <c r="F4" s="10" t="inlineStr">
        <is>
          <t>Middle Eastern</t>
        </is>
      </c>
      <c r="G4" s="10" t="inlineStr">
        <is>
          <t>96 Ossington Ave</t>
        </is>
      </c>
      <c r="H4" s="12" t="inlineStr">
        <is>
          <t>https://azhartoronto.com</t>
        </is>
      </c>
      <c r="I4" s="12" t="inlineStr">
        <is>
          <t>@azhartoronto</t>
        </is>
      </c>
      <c r="J4" s="10" t="inlineStr"/>
      <c r="K4" s="10" t="inlineStr"/>
      <c r="L4" s="13" t="inlineStr">
        <is>
          <t>Wood-fired Middle Eastern plates, easy for two.</t>
        </is>
      </c>
      <c r="M4" s="10" t="inlineStr">
        <is>
          <t>Not checked</t>
        </is>
      </c>
      <c r="N4" s="10" t="inlineStr">
        <is>
          <t>Target</t>
        </is>
      </c>
      <c r="S4" s="14" t="n"/>
      <c r="U4" s="14" t="n"/>
      <c r="X4" s="13" t="inlineStr">
        <is>
          <t>Check it's open before visiting: weak online evidence.</t>
        </is>
      </c>
      <c r="Y4" s="12" t="inlineStr">
        <is>
          <t>https://azhartoronto.com</t>
        </is>
      </c>
    </row>
    <row r="5">
      <c r="A5" s="10" t="n">
        <v>4</v>
      </c>
      <c r="B5" s="10" t="n">
        <v>1</v>
      </c>
      <c r="C5" s="11" t="inlineStr">
        <is>
          <t>Côte de Boeuf</t>
        </is>
      </c>
      <c r="D5" s="10" t="inlineStr">
        <is>
          <t>Ossington</t>
        </is>
      </c>
      <c r="E5" s="10" t="inlineStr">
        <is>
          <t>Restaurant</t>
        </is>
      </c>
      <c r="F5" s="10" t="inlineStr">
        <is>
          <t>French bistro and butcher</t>
        </is>
      </c>
      <c r="G5" s="10" t="inlineStr">
        <is>
          <t>130 Ossington Ave</t>
        </is>
      </c>
      <c r="H5" s="12" t="inlineStr">
        <is>
          <t>https://cotedeboeuf.ca</t>
        </is>
      </c>
      <c r="I5" s="12" t="inlineStr">
        <is>
          <t>@cotedeboeufossington</t>
        </is>
      </c>
      <c r="J5" s="10" t="inlineStr"/>
      <c r="K5" s="10" t="inlineStr"/>
      <c r="L5" s="13" t="inlineStr">
        <is>
          <t>Walk-in steak frites bistro, a well-known name on the strip.</t>
        </is>
      </c>
      <c r="M5" s="10" t="inlineStr">
        <is>
          <t>Not checked</t>
        </is>
      </c>
      <c r="N5" s="10" t="inlineStr">
        <is>
          <t>Target</t>
        </is>
      </c>
      <c r="S5" s="14" t="n"/>
      <c r="U5" s="14" t="n"/>
      <c r="X5" s="13" t="inlineStr">
        <is>
          <t>Check it's open before visiting: weak online evidence.</t>
        </is>
      </c>
      <c r="Y5" s="12" t="inlineStr">
        <is>
          <t>https://cotedeboeuf.ca</t>
        </is>
      </c>
    </row>
    <row r="6">
      <c r="A6" s="10" t="n">
        <v>5</v>
      </c>
      <c r="B6" s="10" t="n">
        <v>1</v>
      </c>
      <c r="C6" s="11" t="inlineStr">
        <is>
          <t>Enoteca Sociale</t>
        </is>
      </c>
      <c r="D6" s="10" t="inlineStr">
        <is>
          <t>Ossington</t>
        </is>
      </c>
      <c r="E6" s="10" t="inlineStr">
        <is>
          <t>Restaurant</t>
        </is>
      </c>
      <c r="F6" s="10" t="inlineStr">
        <is>
          <t>Roman Italian</t>
        </is>
      </c>
      <c r="G6" s="10" t="inlineStr">
        <is>
          <t>1288 Dundas St W</t>
        </is>
      </c>
      <c r="H6" s="12" t="inlineStr">
        <is>
          <t>https://sociale.ca</t>
        </is>
      </c>
      <c r="I6" s="10" t="inlineStr"/>
      <c r="J6" s="10" t="inlineStr">
        <is>
          <t>416-534-1200</t>
        </is>
      </c>
      <c r="K6" s="10" t="inlineStr">
        <is>
          <t>$$</t>
        </is>
      </c>
      <c r="L6" s="13" t="inlineStr">
        <is>
          <t>Bib Gourmand pasta spot on Dundas West.</t>
        </is>
      </c>
      <c r="M6" s="10" t="inlineStr">
        <is>
          <t>Not checked</t>
        </is>
      </c>
      <c r="N6" s="10" t="inlineStr">
        <is>
          <t>Target</t>
        </is>
      </c>
      <c r="S6" s="14" t="n"/>
      <c r="U6" s="14" t="n"/>
      <c r="X6" s="13" t="inlineStr"/>
      <c r="Y6" s="12" t="inlineStr">
        <is>
          <t>https://guide.michelin.com/ca/en/ontario/toronto/restaurant/enoteca-sociale</t>
        </is>
      </c>
    </row>
    <row r="7">
      <c r="A7" s="10" t="n">
        <v>6</v>
      </c>
      <c r="B7" s="10" t="n">
        <v>1</v>
      </c>
      <c r="C7" s="11" t="inlineStr">
        <is>
          <t>Fallen Feather</t>
        </is>
      </c>
      <c r="D7" s="10" t="inlineStr">
        <is>
          <t>Ossington</t>
        </is>
      </c>
      <c r="E7" s="10" t="inlineStr">
        <is>
          <t>Restaurant</t>
        </is>
      </c>
      <c r="F7" s="10" t="inlineStr">
        <is>
          <t>Modern Asian with French technique</t>
        </is>
      </c>
      <c r="G7" s="10" t="inlineStr"/>
      <c r="H7" s="10" t="inlineStr"/>
      <c r="I7" s="12" t="inlineStr">
        <is>
          <t>@fallenfeather217</t>
        </is>
      </c>
      <c r="J7" s="10" t="inlineStr"/>
      <c r="K7" s="10" t="inlineStr"/>
      <c r="L7" s="13" t="inlineStr">
        <is>
          <t>Stylish Asian-French dinner room on the strip.</t>
        </is>
      </c>
      <c r="M7" s="10" t="inlineStr">
        <is>
          <t>Not checked</t>
        </is>
      </c>
      <c r="N7" s="10" t="inlineStr">
        <is>
          <t>Target</t>
        </is>
      </c>
      <c r="S7" s="14" t="n"/>
      <c r="U7" s="14" t="n"/>
      <c r="X7" s="13" t="inlineStr"/>
      <c r="Y7" s="12" t="inlineStr">
        <is>
          <t>https://streetsoftoronto.com/food/5-spots-on-ossington-every-foodie-needs-to-try/</t>
        </is>
      </c>
    </row>
    <row r="8">
      <c r="A8" s="10" t="n">
        <v>7</v>
      </c>
      <c r="B8" s="10" t="n">
        <v>1</v>
      </c>
      <c r="C8" s="11" t="inlineStr">
        <is>
          <t>Fat Choi</t>
        </is>
      </c>
      <c r="D8" s="10" t="inlineStr">
        <is>
          <t>Ossington</t>
        </is>
      </c>
      <c r="E8" s="10" t="inlineStr">
        <is>
          <t>Restaurant</t>
        </is>
      </c>
      <c r="F8" s="10" t="inlineStr">
        <is>
          <t>Plant-based Malaysian and Nyonya</t>
        </is>
      </c>
      <c r="G8" s="10" t="inlineStr">
        <is>
          <t>94 Ossington Ave</t>
        </is>
      </c>
      <c r="H8" s="12" t="inlineStr">
        <is>
          <t>https://www.fatchoito.com</t>
        </is>
      </c>
      <c r="I8" s="10" t="inlineStr"/>
      <c r="J8" s="10" t="inlineStr">
        <is>
          <t>416-901-7667</t>
        </is>
      </c>
      <c r="K8" s="10" t="inlineStr"/>
      <c r="L8" s="13" t="inlineStr">
        <is>
          <t>Vegan tasting menus, a different option for the list.</t>
        </is>
      </c>
      <c r="M8" s="10" t="inlineStr">
        <is>
          <t>Not checked</t>
        </is>
      </c>
      <c r="N8" s="10" t="inlineStr">
        <is>
          <t>Target</t>
        </is>
      </c>
      <c r="S8" s="14" t="n"/>
      <c r="U8" s="14" t="n"/>
      <c r="X8" s="13" t="inlineStr">
        <is>
          <t>Check it's open before visiting: weak online evidence.</t>
        </is>
      </c>
      <c r="Y8" s="12" t="inlineStr">
        <is>
          <t>https://www.fatchoito.com</t>
        </is>
      </c>
    </row>
    <row r="9">
      <c r="A9" s="10" t="n">
        <v>8</v>
      </c>
      <c r="B9" s="10" t="n">
        <v>1</v>
      </c>
      <c r="C9" s="11" t="inlineStr">
        <is>
          <t>Favorites Thai</t>
        </is>
      </c>
      <c r="D9" s="10" t="inlineStr">
        <is>
          <t>Ossington</t>
        </is>
      </c>
      <c r="E9" s="10" t="inlineStr">
        <is>
          <t>Restaurant</t>
        </is>
      </c>
      <c r="F9" s="10" t="inlineStr">
        <is>
          <t>Thai, charcoal BBQ</t>
        </is>
      </c>
      <c r="G9" s="10" t="inlineStr">
        <is>
          <t>141 Ossington Ave</t>
        </is>
      </c>
      <c r="H9" s="12" t="inlineStr">
        <is>
          <t>https://www.myfavethai.com</t>
        </is>
      </c>
      <c r="I9" s="12" t="inlineStr">
        <is>
          <t>@myfavethai</t>
        </is>
      </c>
      <c r="J9" s="10" t="inlineStr">
        <is>
          <t>647-867-3283</t>
        </is>
      </c>
      <c r="K9" s="10" t="inlineStr">
        <is>
          <t>$$</t>
        </is>
      </c>
      <c r="L9" s="13" t="inlineStr">
        <is>
          <t>Bib Gourmand Thai BBQ, a strong value story for members.</t>
        </is>
      </c>
      <c r="M9" s="10" t="inlineStr">
        <is>
          <t>Not checked</t>
        </is>
      </c>
      <c r="N9" s="10" t="inlineStr">
        <is>
          <t>Target</t>
        </is>
      </c>
      <c r="S9" s="14" t="n"/>
      <c r="U9" s="14" t="n"/>
      <c r="X9" s="13" t="inlineStr"/>
      <c r="Y9" s="12" t="inlineStr">
        <is>
          <t>https://guide.michelin.com/ca/en/ontario/toronto/restaurant/favorites-thai</t>
        </is>
      </c>
    </row>
    <row r="10">
      <c r="A10" s="10" t="n">
        <v>9</v>
      </c>
      <c r="B10" s="10" t="n">
        <v>1</v>
      </c>
      <c r="C10" s="11" t="inlineStr">
        <is>
          <t>Gia</t>
        </is>
      </c>
      <c r="D10" s="10" t="inlineStr">
        <is>
          <t>Ossington</t>
        </is>
      </c>
      <c r="E10" s="10" t="inlineStr">
        <is>
          <t>Restaurant</t>
        </is>
      </c>
      <c r="F10" s="10" t="inlineStr">
        <is>
          <t>Plant-forward Italian</t>
        </is>
      </c>
      <c r="G10" s="10" t="inlineStr">
        <is>
          <t>1214 Dundas St W</t>
        </is>
      </c>
      <c r="H10" s="12" t="inlineStr">
        <is>
          <t>https://giarestaurant.ca</t>
        </is>
      </c>
      <c r="I10" s="12" t="inlineStr">
        <is>
          <t>@giatoronto</t>
        </is>
      </c>
      <c r="J10" s="10" t="inlineStr">
        <is>
          <t>416-535-8888</t>
        </is>
      </c>
      <c r="K10" s="10" t="inlineStr">
        <is>
          <t>$$$</t>
        </is>
      </c>
      <c r="L10" s="13" t="inlineStr">
        <is>
          <t>Plant-forward Italian with Michelin recognition.</t>
        </is>
      </c>
      <c r="M10" s="10" t="inlineStr">
        <is>
          <t>Not checked</t>
        </is>
      </c>
      <c r="N10" s="10" t="inlineStr">
        <is>
          <t>Target</t>
        </is>
      </c>
      <c r="S10" s="14" t="n"/>
      <c r="U10" s="14" t="n"/>
      <c r="X10" s="13" t="inlineStr"/>
      <c r="Y10" s="12" t="inlineStr">
        <is>
          <t>https://guide.michelin.com/ca/en/ontario/toronto/restaurant/gia</t>
        </is>
      </c>
    </row>
    <row r="11">
      <c r="A11" s="10" t="n">
        <v>10</v>
      </c>
      <c r="B11" s="10" t="n">
        <v>1</v>
      </c>
      <c r="C11" s="11" t="inlineStr">
        <is>
          <t>Imanishi Japanese Kitchen</t>
        </is>
      </c>
      <c r="D11" s="10" t="inlineStr">
        <is>
          <t>Ossington</t>
        </is>
      </c>
      <c r="E11" s="10" t="inlineStr">
        <is>
          <t>Restaurant</t>
        </is>
      </c>
      <c r="F11" s="10" t="inlineStr">
        <is>
          <t>Japanese home-style</t>
        </is>
      </c>
      <c r="G11" s="10" t="inlineStr">
        <is>
          <t>1330 Dundas St W</t>
        </is>
      </c>
      <c r="H11" s="12" t="inlineStr">
        <is>
          <t>https://www.imanishi.ca</t>
        </is>
      </c>
      <c r="I11" s="12" t="inlineStr">
        <is>
          <t>@imanishijapanesekitchen</t>
        </is>
      </c>
      <c r="J11" s="10" t="inlineStr">
        <is>
          <t>416-706-4225</t>
        </is>
      </c>
      <c r="K11" s="10" t="inlineStr"/>
      <c r="L11" s="13" t="inlineStr">
        <is>
          <t>Tokyo home-style plates in a calm room on Dundas West.</t>
        </is>
      </c>
      <c r="M11" s="10" t="inlineStr">
        <is>
          <t>Not checked</t>
        </is>
      </c>
      <c r="N11" s="10" t="inlineStr">
        <is>
          <t>Target</t>
        </is>
      </c>
      <c r="S11" s="14" t="n"/>
      <c r="U11" s="14" t="n"/>
      <c r="X11" s="13" t="inlineStr"/>
      <c r="Y11" s="12" t="inlineStr">
        <is>
          <t>https://streetsoftoronto.com/food/5-restaurants-on-dundas-west-that-every-foodie-needs-to-try/</t>
        </is>
      </c>
    </row>
    <row r="12">
      <c r="A12" s="10" t="n">
        <v>11</v>
      </c>
      <c r="B12" s="10" t="n">
        <v>1</v>
      </c>
      <c r="C12" s="11" t="inlineStr">
        <is>
          <t>La Banane</t>
        </is>
      </c>
      <c r="D12" s="10" t="inlineStr">
        <is>
          <t>Ossington</t>
        </is>
      </c>
      <c r="E12" s="10" t="inlineStr">
        <is>
          <t>Restaurant</t>
        </is>
      </c>
      <c r="F12" s="10" t="inlineStr">
        <is>
          <t>French, raw bar</t>
        </is>
      </c>
      <c r="G12" s="10" t="inlineStr">
        <is>
          <t>227 Ossington Ave</t>
        </is>
      </c>
      <c r="H12" s="12" t="inlineStr">
        <is>
          <t>https://www.labanane.ca</t>
        </is>
      </c>
      <c r="I12" s="12" t="inlineStr">
        <is>
          <t>@labananeresto</t>
        </is>
      </c>
      <c r="J12" s="10" t="inlineStr">
        <is>
          <t>416-551-6263</t>
        </is>
      </c>
      <c r="K12" s="10" t="inlineStr">
        <is>
          <t>$$$$</t>
        </is>
      </c>
      <c r="L12" s="13" t="inlineStr">
        <is>
          <t>Michelin-listed French room with a raw bar, good for a special night out.</t>
        </is>
      </c>
      <c r="M12" s="10" t="inlineStr">
        <is>
          <t>Not checked</t>
        </is>
      </c>
      <c r="N12" s="10" t="inlineStr">
        <is>
          <t>Target</t>
        </is>
      </c>
      <c r="S12" s="14" t="n"/>
      <c r="U12" s="14" t="n"/>
      <c r="X12" s="13" t="inlineStr"/>
      <c r="Y12" s="12" t="inlineStr">
        <is>
          <t>https://guide.michelin.com/ca/en/ontario/toronto/restaurant/la-banane</t>
        </is>
      </c>
    </row>
    <row r="13">
      <c r="A13" s="10" t="n">
        <v>12</v>
      </c>
      <c r="B13" s="10" t="n">
        <v>1</v>
      </c>
      <c r="C13" s="11" t="inlineStr">
        <is>
          <t>Linny's</t>
        </is>
      </c>
      <c r="D13" s="10" t="inlineStr">
        <is>
          <t>Ossington</t>
        </is>
      </c>
      <c r="E13" s="10" t="inlineStr">
        <is>
          <t>Restaurant</t>
        </is>
      </c>
      <c r="F13" s="10" t="inlineStr">
        <is>
          <t>Steakhouse, deli</t>
        </is>
      </c>
      <c r="G13" s="10" t="inlineStr">
        <is>
          <t>176 Ossington Ave</t>
        </is>
      </c>
      <c r="H13" s="12" t="inlineStr">
        <is>
          <t>https://linnysrestaurant.com</t>
        </is>
      </c>
      <c r="I13" s="12" t="inlineStr">
        <is>
          <t>@linnysrestaurant</t>
        </is>
      </c>
      <c r="J13" s="10" t="inlineStr">
        <is>
          <t>647-390-1836</t>
        </is>
      </c>
      <c r="K13" s="10" t="inlineStr">
        <is>
          <t>$$$$</t>
        </is>
      </c>
      <c r="L13" s="13" t="inlineStr">
        <is>
          <t>Premium deli-steakhouse that would be a headline name on the list.</t>
        </is>
      </c>
      <c r="M13" s="10" t="inlineStr">
        <is>
          <t>Not checked</t>
        </is>
      </c>
      <c r="N13" s="10" t="inlineStr">
        <is>
          <t>Target</t>
        </is>
      </c>
      <c r="S13" s="14" t="n"/>
      <c r="U13" s="14" t="n"/>
      <c r="X13" s="13" t="inlineStr"/>
      <c r="Y13" s="12" t="inlineStr">
        <is>
          <t>https://guide.michelin.com/ca/en/ontario/toronto/restaurant/linny-s</t>
        </is>
      </c>
    </row>
    <row r="14">
      <c r="A14" s="10" t="n">
        <v>13</v>
      </c>
      <c r="B14" s="10" t="n">
        <v>1</v>
      </c>
      <c r="C14" s="11" t="inlineStr">
        <is>
          <t>Mamakas Taverna</t>
        </is>
      </c>
      <c r="D14" s="10" t="inlineStr">
        <is>
          <t>Ossington</t>
        </is>
      </c>
      <c r="E14" s="10" t="inlineStr">
        <is>
          <t>Restaurant</t>
        </is>
      </c>
      <c r="F14" s="10" t="inlineStr">
        <is>
          <t>Greek</t>
        </is>
      </c>
      <c r="G14" s="10" t="inlineStr">
        <is>
          <t>80 Ossington Ave</t>
        </is>
      </c>
      <c r="H14" s="12" t="inlineStr">
        <is>
          <t>https://mamakas.ca/locations/mamakas-ossington/</t>
        </is>
      </c>
      <c r="I14" s="12" t="inlineStr">
        <is>
          <t>@mamakastaverna</t>
        </is>
      </c>
      <c r="J14" s="10" t="inlineStr">
        <is>
          <t>416-519-5996</t>
        </is>
      </c>
      <c r="K14" s="10" t="inlineStr"/>
      <c r="L14" s="13" t="inlineStr">
        <is>
          <t>Polished Greek taverna built around sharing plates.</t>
        </is>
      </c>
      <c r="M14" s="10" t="inlineStr">
        <is>
          <t>Not checked</t>
        </is>
      </c>
      <c r="N14" s="10" t="inlineStr">
        <is>
          <t>Target</t>
        </is>
      </c>
      <c r="S14" s="14" t="n"/>
      <c r="U14" s="14" t="n"/>
      <c r="X14" s="13" t="inlineStr"/>
      <c r="Y14" s="12" t="inlineStr">
        <is>
          <t>https://mamakas.ca/locations/mamakas-ossington/</t>
        </is>
      </c>
    </row>
    <row r="15">
      <c r="A15" s="10" t="n">
        <v>14</v>
      </c>
      <c r="B15" s="10" t="n">
        <v>1</v>
      </c>
      <c r="C15" s="11" t="inlineStr">
        <is>
          <t>MSSM Ossington</t>
        </is>
      </c>
      <c r="D15" s="10" t="inlineStr">
        <is>
          <t>Ossington</t>
        </is>
      </c>
      <c r="E15" s="10" t="inlineStr">
        <is>
          <t>Restaurant</t>
        </is>
      </c>
      <c r="F15" s="10" t="inlineStr">
        <is>
          <t>Japanese omakase</t>
        </is>
      </c>
      <c r="G15" s="10" t="inlineStr">
        <is>
          <t>1221 Dundas St W</t>
        </is>
      </c>
      <c r="H15" s="12" t="inlineStr">
        <is>
          <t>https://mssmossington.ca</t>
        </is>
      </c>
      <c r="I15" s="12" t="inlineStr">
        <is>
          <t>@mssmossington</t>
        </is>
      </c>
      <c r="J15" s="10" t="inlineStr"/>
      <c r="K15" s="10" t="inlineStr"/>
      <c r="L15" s="13" t="inlineStr">
        <is>
          <t>Edomae omakase counter, a premium sushi option.</t>
        </is>
      </c>
      <c r="M15" s="10" t="inlineStr">
        <is>
          <t>Not checked</t>
        </is>
      </c>
      <c r="N15" s="10" t="inlineStr">
        <is>
          <t>Target</t>
        </is>
      </c>
      <c r="S15" s="14" t="n"/>
      <c r="U15" s="14" t="n"/>
      <c r="X15" s="13" t="inlineStr">
        <is>
          <t>Check it's open before visiting: weak online evidence.</t>
        </is>
      </c>
      <c r="Y15" s="12" t="inlineStr">
        <is>
          <t>https://mssmossington.ca</t>
        </is>
      </c>
    </row>
    <row r="16">
      <c r="A16" s="10" t="n">
        <v>15</v>
      </c>
      <c r="B16" s="10" t="n">
        <v>1</v>
      </c>
      <c r="C16" s="11" t="inlineStr">
        <is>
          <t>OddSeoul</t>
        </is>
      </c>
      <c r="D16" s="10" t="inlineStr">
        <is>
          <t>Ossington</t>
        </is>
      </c>
      <c r="E16" s="10" t="inlineStr">
        <is>
          <t>Restaurant</t>
        </is>
      </c>
      <c r="F16" s="10" t="inlineStr">
        <is>
          <t>Korean small plates</t>
        </is>
      </c>
      <c r="G16" s="10" t="inlineStr">
        <is>
          <t>90 Ossington Ave</t>
        </is>
      </c>
      <c r="H16" s="12" t="inlineStr">
        <is>
          <t>https://oddseoul.ca</t>
        </is>
      </c>
      <c r="I16" s="12" t="inlineStr">
        <is>
          <t>@90oddseoul</t>
        </is>
      </c>
      <c r="J16" s="10" t="inlineStr"/>
      <c r="K16" s="10" t="inlineStr"/>
      <c r="L16" s="13" t="inlineStr">
        <is>
          <t>Late-night Korean small plates, good for a casual date.</t>
        </is>
      </c>
      <c r="M16" s="10" t="inlineStr">
        <is>
          <t>Not checked</t>
        </is>
      </c>
      <c r="N16" s="10" t="inlineStr">
        <is>
          <t>Target</t>
        </is>
      </c>
      <c r="S16" s="14" t="n"/>
      <c r="U16" s="14" t="n"/>
      <c r="X16" s="13" t="inlineStr"/>
      <c r="Y16" s="12" t="inlineStr">
        <is>
          <t>https://streetsoftoronto.com/food/5-spots-on-ossington-every-foodie-needs-to-try/</t>
        </is>
      </c>
    </row>
    <row r="17">
      <c r="A17" s="10" t="n">
        <v>16</v>
      </c>
      <c r="B17" s="10" t="n">
        <v>1</v>
      </c>
      <c r="C17" s="11" t="inlineStr">
        <is>
          <t>Papi &amp; Rosita</t>
        </is>
      </c>
      <c r="D17" s="10" t="inlineStr">
        <is>
          <t>Ossington</t>
        </is>
      </c>
      <c r="E17" s="10" t="inlineStr">
        <is>
          <t>Restaurant</t>
        </is>
      </c>
      <c r="F17" s="10" t="inlineStr">
        <is>
          <t>Comfort food, tacos, pizza, pasta</t>
        </is>
      </c>
      <c r="G17" s="10" t="inlineStr">
        <is>
          <t>198 Ossington Ave</t>
        </is>
      </c>
      <c r="H17" s="12" t="inlineStr">
        <is>
          <t>https://www.papiandrosita.com</t>
        </is>
      </c>
      <c r="I17" s="10" t="inlineStr"/>
      <c r="J17" s="10" t="inlineStr">
        <is>
          <t>416-519-1109</t>
        </is>
      </c>
      <c r="K17" s="10" t="inlineStr"/>
      <c r="L17" s="13" t="inlineStr">
        <is>
          <t>Newer sister to Papi Chulo's, still building regulars.</t>
        </is>
      </c>
      <c r="M17" s="10" t="inlineStr">
        <is>
          <t>Not checked</t>
        </is>
      </c>
      <c r="N17" s="10" t="inlineStr">
        <is>
          <t>Target</t>
        </is>
      </c>
      <c r="S17" s="14" t="n"/>
      <c r="U17" s="14" t="n"/>
      <c r="X17" s="13" t="inlineStr">
        <is>
          <t>Check it's open before visiting: weak online evidence.</t>
        </is>
      </c>
      <c r="Y17" s="12" t="inlineStr">
        <is>
          <t>https://www.papiandrosita.com</t>
        </is>
      </c>
    </row>
    <row r="18">
      <c r="A18" s="10" t="n">
        <v>17</v>
      </c>
      <c r="B18" s="10" t="n">
        <v>1</v>
      </c>
      <c r="C18" s="11" t="inlineStr">
        <is>
          <t>Papi Chulo's</t>
        </is>
      </c>
      <c r="D18" s="10" t="inlineStr">
        <is>
          <t>Ossington</t>
        </is>
      </c>
      <c r="E18" s="10" t="inlineStr">
        <is>
          <t>Restaurant</t>
        </is>
      </c>
      <c r="F18" s="10" t="inlineStr">
        <is>
          <t>Mexican</t>
        </is>
      </c>
      <c r="G18" s="10" t="inlineStr">
        <is>
          <t>121 Ossington Ave</t>
        </is>
      </c>
      <c r="H18" s="12" t="inlineStr">
        <is>
          <t>https://www.papichulos.ca</t>
        </is>
      </c>
      <c r="I18" s="12" t="inlineStr">
        <is>
          <t>@eatpapichulos</t>
        </is>
      </c>
      <c r="J18" s="10" t="inlineStr"/>
      <c r="K18" s="10" t="inlineStr"/>
      <c r="L18" s="13" t="inlineStr">
        <is>
          <t>Lively, casual Mexican spot that fits a bring-a-friend offer.</t>
        </is>
      </c>
      <c r="M18" s="10" t="inlineStr">
        <is>
          <t>Not checked</t>
        </is>
      </c>
      <c r="N18" s="10" t="inlineStr">
        <is>
          <t>Target</t>
        </is>
      </c>
      <c r="S18" s="14" t="n"/>
      <c r="U18" s="14" t="n"/>
      <c r="X18" s="13" t="inlineStr">
        <is>
          <t>Check it's open before visiting: weak online evidence.</t>
        </is>
      </c>
      <c r="Y18" s="12" t="inlineStr">
        <is>
          <t>https://www.papichulos.ca</t>
        </is>
      </c>
    </row>
    <row r="19">
      <c r="A19" s="10" t="n">
        <v>18</v>
      </c>
      <c r="B19" s="10" t="n">
        <v>1</v>
      </c>
      <c r="C19" s="11" t="inlineStr">
        <is>
          <t>Pho Tien Thanh</t>
        </is>
      </c>
      <c r="D19" s="10" t="inlineStr">
        <is>
          <t>Ossington</t>
        </is>
      </c>
      <c r="E19" s="10" t="inlineStr">
        <is>
          <t>Restaurant</t>
        </is>
      </c>
      <c r="F19" s="10" t="inlineStr">
        <is>
          <t>Vietnamese</t>
        </is>
      </c>
      <c r="G19" s="10" t="inlineStr">
        <is>
          <t>57 Ossington Ave</t>
        </is>
      </c>
      <c r="H19" s="12" t="inlineStr">
        <is>
          <t>https://photienthanh.com</t>
        </is>
      </c>
      <c r="I19" s="12" t="inlineStr">
        <is>
          <t>@photienthanhto</t>
        </is>
      </c>
      <c r="J19" s="10" t="inlineStr">
        <is>
          <t>416-588-6997</t>
        </is>
      </c>
      <c r="K19" s="10" t="inlineStr">
        <is>
          <t>$</t>
        </is>
      </c>
      <c r="L19" s="13" t="inlineStr">
        <is>
          <t>Long-standing pho spot, a budget-friendly anchor.</t>
        </is>
      </c>
      <c r="M19" s="10" t="inlineStr">
        <is>
          <t>Not checked</t>
        </is>
      </c>
      <c r="N19" s="10" t="inlineStr">
        <is>
          <t>Target</t>
        </is>
      </c>
      <c r="S19" s="14" t="n"/>
      <c r="U19" s="14" t="n"/>
      <c r="X19" s="13" t="inlineStr"/>
      <c r="Y19" s="12" t="inlineStr">
        <is>
          <t>https://guide.michelin.com/ca/en/ontario/toronto/restaurant/pho-tien-thanh</t>
        </is>
      </c>
    </row>
    <row r="20">
      <c r="A20" s="10" t="n">
        <v>19</v>
      </c>
      <c r="B20" s="10" t="n">
        <v>1</v>
      </c>
      <c r="C20" s="11" t="inlineStr">
        <is>
          <t>Please &amp; Thank You</t>
        </is>
      </c>
      <c r="D20" s="10" t="inlineStr">
        <is>
          <t>Ossington</t>
        </is>
      </c>
      <c r="E20" s="10" t="inlineStr">
        <is>
          <t>Restaurant</t>
        </is>
      </c>
      <c r="F20" s="10" t="inlineStr">
        <is>
          <t>Global small plates</t>
        </is>
      </c>
      <c r="G20" s="10" t="inlineStr">
        <is>
          <t>108 Ossington Ave</t>
        </is>
      </c>
      <c r="H20" s="10" t="inlineStr"/>
      <c r="I20" s="12" t="inlineStr">
        <is>
          <t>@pandtytoronto</t>
        </is>
      </c>
      <c r="J20" s="10" t="inlineStr"/>
      <c r="K20" s="10" t="inlineStr"/>
      <c r="L20" s="13" t="inlineStr">
        <is>
          <t>Small plates mostly under $20, from the OddSeoul team.</t>
        </is>
      </c>
      <c r="M20" s="10" t="inlineStr">
        <is>
          <t>Not checked</t>
        </is>
      </c>
      <c r="N20" s="10" t="inlineStr">
        <is>
          <t>Target</t>
        </is>
      </c>
      <c r="S20" s="14" t="n"/>
      <c r="U20" s="14" t="n"/>
      <c r="X20" s="13" t="inlineStr"/>
      <c r="Y20" s="12" t="inlineStr">
        <is>
          <t>https://streetsoftoronto.com/food/team-behind-one-of-ossingtons-best-restaurants-just-opened-another-must-visit-spot/</t>
        </is>
      </c>
    </row>
    <row r="21">
      <c r="A21" s="10" t="n">
        <v>20</v>
      </c>
      <c r="B21" s="10" t="n">
        <v>1</v>
      </c>
      <c r="C21" s="11" t="inlineStr">
        <is>
          <t>Taberna LX</t>
        </is>
      </c>
      <c r="D21" s="10" t="inlineStr">
        <is>
          <t>Ossington</t>
        </is>
      </c>
      <c r="E21" s="10" t="inlineStr">
        <is>
          <t>Restaurant</t>
        </is>
      </c>
      <c r="F21" s="10" t="inlineStr">
        <is>
          <t>Portuguese</t>
        </is>
      </c>
      <c r="G21" s="10" t="inlineStr">
        <is>
          <t>1161 Dundas St W</t>
        </is>
      </c>
      <c r="H21" s="12" t="inlineStr">
        <is>
          <t>https://tabernalx.com</t>
        </is>
      </c>
      <c r="I21" s="12" t="inlineStr">
        <is>
          <t>@taberna_lx_to</t>
        </is>
      </c>
      <c r="J21" s="10" t="inlineStr">
        <is>
          <t>416-516-6660</t>
        </is>
      </c>
      <c r="K21" s="10" t="inlineStr"/>
      <c r="L21" s="13" t="inlineStr">
        <is>
          <t>Newer Portuguese room near Ossington and Dundas.</t>
        </is>
      </c>
      <c r="M21" s="10" t="inlineStr">
        <is>
          <t>Not checked</t>
        </is>
      </c>
      <c r="N21" s="10" t="inlineStr">
        <is>
          <t>Target</t>
        </is>
      </c>
      <c r="S21" s="14" t="n"/>
      <c r="U21" s="14" t="n"/>
      <c r="X21" s="13" t="inlineStr"/>
      <c r="Y21" s="12" t="inlineStr">
        <is>
          <t>https://foodism.ca/eat-drink/bars-restaurants/best-new-restaurants-toronto-fall-2025/</t>
        </is>
      </c>
    </row>
    <row r="22">
      <c r="A22" s="10" t="n">
        <v>21</v>
      </c>
      <c r="B22" s="10" t="n">
        <v>1</v>
      </c>
      <c r="C22" s="11" t="inlineStr">
        <is>
          <t>The Haifa Room</t>
        </is>
      </c>
      <c r="D22" s="10" t="inlineStr">
        <is>
          <t>Ossington</t>
        </is>
      </c>
      <c r="E22" s="10" t="inlineStr">
        <is>
          <t>Restaurant</t>
        </is>
      </c>
      <c r="F22" s="10" t="inlineStr">
        <is>
          <t>Israeli, Middle Eastern</t>
        </is>
      </c>
      <c r="G22" s="10" t="inlineStr">
        <is>
          <t>224 Ossington Ave</t>
        </is>
      </c>
      <c r="H22" s="12" t="inlineStr">
        <is>
          <t>https://www.thehaifaroom.com</t>
        </is>
      </c>
      <c r="I22" s="10" t="inlineStr"/>
      <c r="J22" s="10" t="inlineStr"/>
      <c r="K22" s="10" t="inlineStr"/>
      <c r="L22" s="13" t="inlineStr">
        <is>
          <t>Shareable Israeli plates at Ossington and Dundas, easy to bring a friend.</t>
        </is>
      </c>
      <c r="M22" s="10" t="inlineStr">
        <is>
          <t>Not checked</t>
        </is>
      </c>
      <c r="N22" s="10" t="inlineStr">
        <is>
          <t>Target</t>
        </is>
      </c>
      <c r="S22" s="14" t="n"/>
      <c r="U22" s="14" t="n"/>
      <c r="X22" s="13" t="inlineStr">
        <is>
          <t>Check it's open before visiting: weak online evidence.</t>
        </is>
      </c>
      <c r="Y22" s="12" t="inlineStr">
        <is>
          <t>https://www.thehaifaroom.com</t>
        </is>
      </c>
    </row>
    <row r="23">
      <c r="A23" s="10" t="n">
        <v>22</v>
      </c>
      <c r="B23" s="10" t="n">
        <v>1</v>
      </c>
      <c r="C23" s="11" t="inlineStr">
        <is>
          <t>The Lunch Lady of Saigon</t>
        </is>
      </c>
      <c r="D23" s="10" t="inlineStr">
        <is>
          <t>Ossington</t>
        </is>
      </c>
      <c r="E23" s="10" t="inlineStr">
        <is>
          <t>Restaurant</t>
        </is>
      </c>
      <c r="F23" s="10" t="inlineStr">
        <is>
          <t>Vietnamese</t>
        </is>
      </c>
      <c r="G23" s="10" t="inlineStr">
        <is>
          <t>93 Ossington Ave</t>
        </is>
      </c>
      <c r="H23" s="12" t="inlineStr">
        <is>
          <t>https://thelunchlady.com</t>
        </is>
      </c>
      <c r="I23" s="10" t="inlineStr"/>
      <c r="J23" s="10" t="inlineStr">
        <is>
          <t>647-748-9550</t>
        </is>
      </c>
      <c r="K23" s="10" t="inlineStr">
        <is>
          <t>$$</t>
        </is>
      </c>
      <c r="L23" s="13" t="inlineStr">
        <is>
          <t>New Bib Gourmand with lunch and dinner service.</t>
        </is>
      </c>
      <c r="M23" s="10" t="inlineStr">
        <is>
          <t>Not checked</t>
        </is>
      </c>
      <c r="N23" s="10" t="inlineStr">
        <is>
          <t>Target</t>
        </is>
      </c>
      <c r="S23" s="14" t="n"/>
      <c r="U23" s="14" t="n"/>
      <c r="X23" s="13" t="inlineStr"/>
      <c r="Y23" s="12" t="inlineStr">
        <is>
          <t>https://guide.michelin.com/ca/en/ontario/toronto/restaurant/the-lunch-lady-of-saigon</t>
        </is>
      </c>
    </row>
    <row r="24">
      <c r="A24" s="10" t="n">
        <v>23</v>
      </c>
      <c r="B24" s="10" t="n">
        <v>1</v>
      </c>
      <c r="C24" s="11" t="inlineStr">
        <is>
          <t>Union</t>
        </is>
      </c>
      <c r="D24" s="10" t="inlineStr">
        <is>
          <t>Ossington</t>
        </is>
      </c>
      <c r="E24" s="10" t="inlineStr">
        <is>
          <t>Restaurant</t>
        </is>
      </c>
      <c r="F24" s="10" t="inlineStr">
        <is>
          <t>French bistro, seasonal</t>
        </is>
      </c>
      <c r="G24" s="10" t="inlineStr">
        <is>
          <t>72 Ossington Ave</t>
        </is>
      </c>
      <c r="H24" s="12" t="inlineStr">
        <is>
          <t>https://union72.ca</t>
        </is>
      </c>
      <c r="I24" s="12" t="inlineStr">
        <is>
          <t>@union_restaurant</t>
        </is>
      </c>
      <c r="J24" s="10" t="inlineStr">
        <is>
          <t>416-850-0093</t>
        </is>
      </c>
      <c r="K24" s="10" t="inlineStr">
        <is>
          <t>$$$</t>
        </is>
      </c>
      <c r="L24" s="13" t="inlineStr">
        <is>
          <t>Long-running seasonal bistro, a natural fit for a second-main offer.</t>
        </is>
      </c>
      <c r="M24" s="10" t="inlineStr">
        <is>
          <t>Not checked</t>
        </is>
      </c>
      <c r="N24" s="10" t="inlineStr">
        <is>
          <t>Target</t>
        </is>
      </c>
      <c r="S24" s="14" t="n"/>
      <c r="U24" s="14" t="n"/>
      <c r="X24" s="13" t="inlineStr"/>
      <c r="Y24" s="12" t="inlineStr">
        <is>
          <t>https://guide.michelin.com/ca/en/ontario/toronto/restaurant/union-1198909</t>
        </is>
      </c>
    </row>
    <row r="25">
      <c r="A25" s="10" t="n">
        <v>24</v>
      </c>
      <c r="B25" s="10" t="n">
        <v>1</v>
      </c>
      <c r="C25" s="11" t="inlineStr">
        <is>
          <t>The Lakeview</t>
        </is>
      </c>
      <c r="D25" s="10" t="inlineStr">
        <is>
          <t>Ossington</t>
        </is>
      </c>
      <c r="E25" s="10" t="inlineStr">
        <is>
          <t>Brunch</t>
        </is>
      </c>
      <c r="F25" s="10" t="inlineStr">
        <is>
          <t>Diner</t>
        </is>
      </c>
      <c r="G25" s="10" t="inlineStr">
        <is>
          <t>1132 Dundas St W</t>
        </is>
      </c>
      <c r="H25" s="12" t="inlineStr">
        <is>
          <t>http://www.thelakeviewrestaurant.ca</t>
        </is>
      </c>
      <c r="I25" s="12" t="inlineStr">
        <is>
          <t>@thelakeviewdiner</t>
        </is>
      </c>
      <c r="J25" s="10" t="inlineStr">
        <is>
          <t>416-850-8886</t>
        </is>
      </c>
      <c r="K25" s="10" t="inlineStr"/>
      <c r="L25" s="13" t="inlineStr">
        <is>
          <t>Classic diner at Ossington and Dundas with all-day breakfast.</t>
        </is>
      </c>
      <c r="M25" s="10" t="inlineStr">
        <is>
          <t>Not checked</t>
        </is>
      </c>
      <c r="N25" s="10" t="inlineStr">
        <is>
          <t>Target</t>
        </is>
      </c>
      <c r="S25" s="14" t="n"/>
      <c r="U25" s="14" t="n"/>
      <c r="X25" s="13" t="inlineStr">
        <is>
          <t>Check it's open before visiting: weak online evidence.</t>
        </is>
      </c>
      <c r="Y25" s="12" t="inlineStr">
        <is>
          <t>http://www.thelakeviewrestaurant.ca</t>
        </is>
      </c>
    </row>
    <row r="26">
      <c r="A26" s="10" t="n">
        <v>25</v>
      </c>
      <c r="B26" s="10" t="n">
        <v>1</v>
      </c>
      <c r="C26" s="11" t="inlineStr">
        <is>
          <t>I Deal Coffee &amp; Wine</t>
        </is>
      </c>
      <c r="D26" s="10" t="inlineStr">
        <is>
          <t>Ossington</t>
        </is>
      </c>
      <c r="E26" s="10" t="inlineStr">
        <is>
          <t>Café</t>
        </is>
      </c>
      <c r="F26" s="10" t="inlineStr">
        <is>
          <t>Coffee, pastries</t>
        </is>
      </c>
      <c r="G26" s="10" t="inlineStr">
        <is>
          <t>162 Ossington Ave</t>
        </is>
      </c>
      <c r="H26" s="10" t="inlineStr"/>
      <c r="I26" s="10" t="inlineStr"/>
      <c r="J26" s="10" t="inlineStr"/>
      <c r="K26" s="10" t="inlineStr"/>
      <c r="L26" s="13" t="inlineStr">
        <is>
          <t>Early-opening café with a patio, good for weekday mornings.</t>
        </is>
      </c>
      <c r="M26" s="10" t="inlineStr">
        <is>
          <t>Not checked</t>
        </is>
      </c>
      <c r="N26" s="10" t="inlineStr">
        <is>
          <t>Target</t>
        </is>
      </c>
      <c r="S26" s="14" t="n"/>
      <c r="U26" s="14" t="n"/>
      <c r="X26" s="13" t="inlineStr"/>
      <c r="Y26" s="12" t="inlineStr">
        <is>
          <t>https://www.designlinesmagazine.com/ossington-strip-neighbourhood-guide/</t>
        </is>
      </c>
    </row>
    <row r="27">
      <c r="A27" s="10" t="n">
        <v>26</v>
      </c>
      <c r="B27" s="10" t="n">
        <v>1</v>
      </c>
      <c r="C27" s="11" t="inlineStr">
        <is>
          <t>Linny's Luncheonette</t>
        </is>
      </c>
      <c r="D27" s="10" t="inlineStr">
        <is>
          <t>Ossington</t>
        </is>
      </c>
      <c r="E27" s="10" t="inlineStr">
        <is>
          <t>Café</t>
        </is>
      </c>
      <c r="F27" s="10" t="inlineStr">
        <is>
          <t>Deli sandwiches</t>
        </is>
      </c>
      <c r="G27" s="10" t="inlineStr">
        <is>
          <t>174 Ossington Ave</t>
        </is>
      </c>
      <c r="H27" s="10" t="inlineStr"/>
      <c r="I27" s="12" t="inlineStr">
        <is>
          <t>@linnysluncheonette</t>
        </is>
      </c>
      <c r="J27" s="10" t="inlineStr"/>
      <c r="K27" s="10" t="inlineStr"/>
      <c r="L27" s="13" t="inlineStr">
        <is>
          <t>Daytime deli counter, suits a lunch offer.</t>
        </is>
      </c>
      <c r="M27" s="10" t="inlineStr">
        <is>
          <t>Not checked</t>
        </is>
      </c>
      <c r="N27" s="10" t="inlineStr">
        <is>
          <t>Target</t>
        </is>
      </c>
      <c r="S27" s="14" t="n"/>
      <c r="U27" s="14" t="n"/>
      <c r="X27" s="13" t="inlineStr"/>
      <c r="Y27" s="12" t="inlineStr">
        <is>
          <t>https://streetsoftoronto.com/food/restaurants/the-6-best-new-restaurants-on-ossington/</t>
        </is>
      </c>
    </row>
    <row r="28">
      <c r="A28" s="10" t="n">
        <v>27</v>
      </c>
      <c r="B28" s="10" t="n">
        <v>1</v>
      </c>
      <c r="C28" s="11" t="inlineStr">
        <is>
          <t>Manita</t>
        </is>
      </c>
      <c r="D28" s="10" t="inlineStr">
        <is>
          <t>Ossington</t>
        </is>
      </c>
      <c r="E28" s="10" t="inlineStr">
        <is>
          <t>Café</t>
        </is>
      </c>
      <c r="F28" s="10" t="inlineStr">
        <is>
          <t>All-day café, Mediterranean small plates</t>
        </is>
      </c>
      <c r="G28" s="10" t="inlineStr">
        <is>
          <t>210 Ossington Ave</t>
        </is>
      </c>
      <c r="H28" s="12" t="inlineStr">
        <is>
          <t>https://www.manita.ca</t>
        </is>
      </c>
      <c r="I28" s="12" t="inlineStr">
        <is>
          <t>@manita.toronto</t>
        </is>
      </c>
      <c r="J28" s="10" t="inlineStr">
        <is>
          <t>416-551-2230</t>
        </is>
      </c>
      <c r="K28" s="10" t="inlineStr"/>
      <c r="L28" s="13" t="inlineStr">
        <is>
          <t>All-day café that works for brunch and quiet weekday dinners.</t>
        </is>
      </c>
      <c r="M28" s="10" t="inlineStr">
        <is>
          <t>Not checked</t>
        </is>
      </c>
      <c r="N28" s="10" t="inlineStr">
        <is>
          <t>Target</t>
        </is>
      </c>
      <c r="S28" s="14" t="n"/>
      <c r="U28" s="14" t="n"/>
      <c r="X28" s="13" t="inlineStr">
        <is>
          <t>Check it's open before visiting: weak online evidence.</t>
        </is>
      </c>
      <c r="Y28" s="12" t="inlineStr">
        <is>
          <t>https://www.manita.ca</t>
        </is>
      </c>
    </row>
    <row r="29">
      <c r="A29" s="10" t="n">
        <v>28</v>
      </c>
      <c r="B29" s="10" t="n">
        <v>1</v>
      </c>
      <c r="C29" s="11" t="inlineStr">
        <is>
          <t>Misc Coffee</t>
        </is>
      </c>
      <c r="D29" s="10" t="inlineStr">
        <is>
          <t>Ossington</t>
        </is>
      </c>
      <c r="E29" s="10" t="inlineStr">
        <is>
          <t>Café</t>
        </is>
      </c>
      <c r="F29" s="10" t="inlineStr">
        <is>
          <t>Coffee</t>
        </is>
      </c>
      <c r="G29" s="10" t="inlineStr">
        <is>
          <t>299 Ossington Ave</t>
        </is>
      </c>
      <c r="H29" s="10" t="inlineStr"/>
      <c r="I29" s="10" t="inlineStr"/>
      <c r="J29" s="10" t="inlineStr"/>
      <c r="K29" s="10" t="inlineStr"/>
      <c r="L29" s="13" t="inlineStr">
        <is>
          <t>New café at the north end of the strip.</t>
        </is>
      </c>
      <c r="M29" s="10" t="inlineStr">
        <is>
          <t>Not checked</t>
        </is>
      </c>
      <c r="N29" s="10" t="inlineStr">
        <is>
          <t>Target</t>
        </is>
      </c>
      <c r="S29" s="14" t="n"/>
      <c r="U29" s="14" t="n"/>
      <c r="X29" s="13" t="inlineStr"/>
      <c r="Y29" s="12" t="inlineStr">
        <is>
          <t>https://foodism.ca/eat-drink/bars-restaurants/best-new-restaurants-toronto-fall-2025/</t>
        </is>
      </c>
    </row>
    <row r="30">
      <c r="A30" s="10" t="n">
        <v>29</v>
      </c>
      <c r="B30" s="10" t="n">
        <v>1</v>
      </c>
      <c r="C30" s="11" t="inlineStr">
        <is>
          <t>Stefano's Diner</t>
        </is>
      </c>
      <c r="D30" s="10" t="inlineStr">
        <is>
          <t>Ossington</t>
        </is>
      </c>
      <c r="E30" s="10" t="inlineStr">
        <is>
          <t>Café</t>
        </is>
      </c>
      <c r="F30" s="10" t="inlineStr">
        <is>
          <t>Vegan Italian sandwiches</t>
        </is>
      </c>
      <c r="G30" s="10" t="inlineStr">
        <is>
          <t>1265 Dundas St W</t>
        </is>
      </c>
      <c r="H30" s="12" t="inlineStr">
        <is>
          <t>https://stefanosdiner.com</t>
        </is>
      </c>
      <c r="I30" s="12" t="inlineStr">
        <is>
          <t>@stefanosdiner</t>
        </is>
      </c>
      <c r="J30" s="10" t="inlineStr">
        <is>
          <t>437-318-8697</t>
        </is>
      </c>
      <c r="K30" s="10" t="inlineStr"/>
      <c r="L30" s="13" t="inlineStr">
        <is>
          <t>Casual plant-based diner, sister to Gia.</t>
        </is>
      </c>
      <c r="M30" s="10" t="inlineStr">
        <is>
          <t>Not checked</t>
        </is>
      </c>
      <c r="N30" s="10" t="inlineStr">
        <is>
          <t>Target</t>
        </is>
      </c>
      <c r="S30" s="14" t="n"/>
      <c r="U30" s="14" t="n"/>
      <c r="X30" s="13" t="inlineStr"/>
      <c r="Y30" s="12" t="inlineStr">
        <is>
          <t>https://streetsoftoronto.com/food/5-restaurants-on-dundas-west-that-every-foodie-needs-to-try/</t>
        </is>
      </c>
    </row>
    <row r="31">
      <c r="A31" s="10" t="n">
        <v>30</v>
      </c>
      <c r="B31" s="10" t="n">
        <v>1</v>
      </c>
      <c r="C31" s="11" t="inlineStr">
        <is>
          <t>Formula Fig (Ossington)</t>
        </is>
      </c>
      <c r="D31" s="10" t="inlineStr">
        <is>
          <t>Ossington</t>
        </is>
      </c>
      <c r="E31" s="10" t="inlineStr">
        <is>
          <t>Spa</t>
        </is>
      </c>
      <c r="F31" s="10" t="inlineStr">
        <is>
          <t>Facial studio</t>
        </is>
      </c>
      <c r="G31" s="10" t="inlineStr">
        <is>
          <t>50 Ossington Ave</t>
        </is>
      </c>
      <c r="H31" s="12" t="inlineStr">
        <is>
          <t>https://formulafig.com/</t>
        </is>
      </c>
      <c r="I31" s="12" t="inlineStr">
        <is>
          <t>@formulafig</t>
        </is>
      </c>
      <c r="J31" s="10" t="inlineStr"/>
      <c r="K31" s="10" t="inlineStr"/>
      <c r="L31" s="13" t="inlineStr">
        <is>
          <t>Free targeted add-on with a signature facial.</t>
        </is>
      </c>
      <c r="M31" s="10" t="inlineStr">
        <is>
          <t>Not checked</t>
        </is>
      </c>
      <c r="N31" s="10" t="inlineStr">
        <is>
          <t>Target</t>
        </is>
      </c>
      <c r="S31" s="14" t="n"/>
      <c r="U31" s="14" t="n"/>
      <c r="X31" s="13" t="inlineStr"/>
      <c r="Y31" s="12" t="inlineStr">
        <is>
          <t>https://curiocity.com/toronto-spas-massages-facials/</t>
        </is>
      </c>
    </row>
    <row r="32">
      <c r="A32" s="10" t="n">
        <v>31</v>
      </c>
      <c r="B32" s="10" t="n">
        <v>1</v>
      </c>
      <c r="C32" s="11" t="inlineStr">
        <is>
          <t>Academy of Lions</t>
        </is>
      </c>
      <c r="D32" s="10" t="inlineStr">
        <is>
          <t>Ossington</t>
        </is>
      </c>
      <c r="E32" s="10" t="inlineStr">
        <is>
          <t>Studio</t>
        </is>
      </c>
      <c r="F32" s="10" t="inlineStr">
        <is>
          <t>Functional fitness</t>
        </is>
      </c>
      <c r="G32" s="10" t="inlineStr">
        <is>
          <t>1083 Dundas St W</t>
        </is>
      </c>
      <c r="H32" s="12" t="inlineStr">
        <is>
          <t>https://www.academyoflions.com/</t>
        </is>
      </c>
      <c r="I32" s="12" t="inlineStr">
        <is>
          <t>@academyoflions</t>
        </is>
      </c>
      <c r="J32" s="10" t="inlineStr"/>
      <c r="K32" s="10" t="inlineStr"/>
      <c r="L32" s="13" t="inlineStr">
        <is>
          <t>Bring a friend to a group class free.</t>
        </is>
      </c>
      <c r="M32" s="10" t="inlineStr">
        <is>
          <t>Not checked</t>
        </is>
      </c>
      <c r="N32" s="10" t="inlineStr">
        <is>
          <t>Target</t>
        </is>
      </c>
      <c r="S32" s="14" t="n"/>
      <c r="U32" s="14" t="n"/>
      <c r="X32" s="13" t="inlineStr"/>
      <c r="Y32" s="12" t="inlineStr">
        <is>
          <t>https://www.academyoflions.com/</t>
        </is>
      </c>
    </row>
    <row r="33">
      <c r="A33" s="10" t="n">
        <v>32</v>
      </c>
      <c r="B33" s="10" t="n">
        <v>1</v>
      </c>
      <c r="C33" s="11" t="inlineStr">
        <is>
          <t>Assembly Movement</t>
        </is>
      </c>
      <c r="D33" s="10" t="inlineStr">
        <is>
          <t>Ossington</t>
        </is>
      </c>
      <c r="E33" s="10" t="inlineStr">
        <is>
          <t>Studio</t>
        </is>
      </c>
      <c r="F33" s="10" t="inlineStr">
        <is>
          <t>Reformer pilates</t>
        </is>
      </c>
      <c r="G33" s="10" t="inlineStr">
        <is>
          <t>832 College St; 1114 Queen St E</t>
        </is>
      </c>
      <c r="H33" s="12" t="inlineStr">
        <is>
          <t>https://www.assemblymovement.ca/</t>
        </is>
      </c>
      <c r="I33" s="12" t="inlineStr">
        <is>
          <t>@assembly_movement</t>
        </is>
      </c>
      <c r="J33" s="10" t="inlineStr"/>
      <c r="K33" s="10" t="inlineStr"/>
      <c r="L33" s="13" t="inlineStr">
        <is>
          <t>Bring a friend to a reformer class free.</t>
        </is>
      </c>
      <c r="M33" s="10" t="inlineStr">
        <is>
          <t>Not checked</t>
        </is>
      </c>
      <c r="N33" s="10" t="inlineStr">
        <is>
          <t>Target</t>
        </is>
      </c>
      <c r="S33" s="14" t="n"/>
      <c r="U33" s="14" t="n"/>
      <c r="X33" s="13" t="inlineStr"/>
      <c r="Y33" s="12" t="inlineStr">
        <is>
          <t>https://www.assemblymovement.ca/</t>
        </is>
      </c>
    </row>
    <row r="34">
      <c r="A34" s="10" t="n">
        <v>33</v>
      </c>
      <c r="B34" s="10" t="n">
        <v>1</v>
      </c>
      <c r="C34" s="11" t="inlineStr">
        <is>
          <t>Downward Dog Yoga</t>
        </is>
      </c>
      <c r="D34" s="10" t="inlineStr">
        <is>
          <t>Ossington</t>
        </is>
      </c>
      <c r="E34" s="10" t="inlineStr">
        <is>
          <t>Studio</t>
        </is>
      </c>
      <c r="F34" s="10" t="inlineStr">
        <is>
          <t>Yoga (vinyasa, strength, pilates)</t>
        </is>
      </c>
      <c r="G34" s="10" t="inlineStr">
        <is>
          <t>30 Ossington Ave, 2nd floor</t>
        </is>
      </c>
      <c r="H34" s="12" t="inlineStr">
        <is>
          <t>https://downwarddog.com/</t>
        </is>
      </c>
      <c r="I34" s="12" t="inlineStr">
        <is>
          <t>@downwarddogyoga</t>
        </is>
      </c>
      <c r="J34" s="10" t="inlineStr"/>
      <c r="K34" s="10" t="inlineStr"/>
      <c r="L34" s="13" t="inlineStr">
        <is>
          <t>Bring a friend to class free.</t>
        </is>
      </c>
      <c r="M34" s="10" t="inlineStr">
        <is>
          <t>Not checked</t>
        </is>
      </c>
      <c r="N34" s="10" t="inlineStr">
        <is>
          <t>Target</t>
        </is>
      </c>
      <c r="S34" s="14" t="n"/>
      <c r="U34" s="14" t="n"/>
      <c r="X34" s="13" t="inlineStr"/>
      <c r="Y34" s="12" t="inlineStr">
        <is>
          <t>https://ma.to/venue/downwarddogyoga</t>
        </is>
      </c>
    </row>
    <row r="35">
      <c r="A35" s="10" t="n">
        <v>34</v>
      </c>
      <c r="B35" s="10" t="n">
        <v>1</v>
      </c>
      <c r="C35" s="11" t="inlineStr">
        <is>
          <t>MuseMovement</t>
        </is>
      </c>
      <c r="D35" s="10" t="inlineStr">
        <is>
          <t>Ossington</t>
        </is>
      </c>
      <c r="E35" s="10" t="inlineStr">
        <is>
          <t>Studio</t>
        </is>
      </c>
      <c r="F35" s="10" t="inlineStr">
        <is>
          <t>Pilates, barre and yoga</t>
        </is>
      </c>
      <c r="G35" s="10" t="inlineStr">
        <is>
          <t>180 Shaw St, #204</t>
        </is>
      </c>
      <c r="H35" s="12" t="inlineStr">
        <is>
          <t>https://www.musemovement.ca/</t>
        </is>
      </c>
      <c r="I35" s="12" t="inlineStr">
        <is>
          <t>@muse_movement</t>
        </is>
      </c>
      <c r="J35" s="10" t="inlineStr"/>
      <c r="K35" s="10" t="inlineStr"/>
      <c r="L35" s="13" t="inlineStr">
        <is>
          <t>Bring a friend to a mat or barre class free.</t>
        </is>
      </c>
      <c r="M35" s="10" t="inlineStr">
        <is>
          <t>Not checked</t>
        </is>
      </c>
      <c r="N35" s="10" t="inlineStr">
        <is>
          <t>Target</t>
        </is>
      </c>
      <c r="S35" s="14" t="n"/>
      <c r="U35" s="14" t="n"/>
      <c r="X35" s="13" t="inlineStr"/>
      <c r="Y35" s="12" t="inlineStr">
        <is>
          <t>https://www.musemovement.ca/</t>
        </is>
      </c>
    </row>
    <row r="36">
      <c r="A36" s="10" t="n">
        <v>35</v>
      </c>
      <c r="B36" s="10" t="n">
        <v>1</v>
      </c>
      <c r="C36" s="11" t="inlineStr">
        <is>
          <t>Octopus Garden Yoga</t>
        </is>
      </c>
      <c r="D36" s="10" t="inlineStr">
        <is>
          <t>Ossington</t>
        </is>
      </c>
      <c r="E36" s="10" t="inlineStr">
        <is>
          <t>Studio</t>
        </is>
      </c>
      <c r="F36" s="10" t="inlineStr">
        <is>
          <t>Yoga and holistic centre</t>
        </is>
      </c>
      <c r="G36" s="10" t="inlineStr">
        <is>
          <t>967 College St</t>
        </is>
      </c>
      <c r="H36" s="12" t="inlineStr">
        <is>
          <t>https://octopusgardenyoga.com/</t>
        </is>
      </c>
      <c r="I36" s="10" t="inlineStr"/>
      <c r="J36" s="10" t="inlineStr"/>
      <c r="K36" s="10" t="inlineStr"/>
      <c r="L36" s="13" t="inlineStr">
        <is>
          <t>Bring a friend to a drop-in class free.</t>
        </is>
      </c>
      <c r="M36" s="10" t="inlineStr">
        <is>
          <t>Not checked</t>
        </is>
      </c>
      <c r="N36" s="10" t="inlineStr">
        <is>
          <t>Target</t>
        </is>
      </c>
      <c r="S36" s="14" t="n"/>
      <c r="U36" s="14" t="n"/>
      <c r="X36" s="13" t="inlineStr">
        <is>
          <t>Check it's open before visiting: weak online evidence.</t>
        </is>
      </c>
      <c r="Y36" s="12" t="inlineStr">
        <is>
          <t>https://www.blogto.com/fitness/octopus-garden-yoga-toronto/</t>
        </is>
      </c>
    </row>
    <row r="37">
      <c r="A37" s="10" t="n">
        <v>36</v>
      </c>
      <c r="B37" s="10" t="n">
        <v>1</v>
      </c>
      <c r="C37" s="11" t="inlineStr">
        <is>
          <t>Ride Cycle Club Ossington</t>
        </is>
      </c>
      <c r="D37" s="10" t="inlineStr">
        <is>
          <t>Ossington</t>
        </is>
      </c>
      <c r="E37" s="10" t="inlineStr">
        <is>
          <t>Studio</t>
        </is>
      </c>
      <c r="F37" s="10" t="inlineStr">
        <is>
          <t>Indoor cycling</t>
        </is>
      </c>
      <c r="G37" s="10" t="inlineStr">
        <is>
          <t>19 Ossington Ave</t>
        </is>
      </c>
      <c r="H37" s="12" t="inlineStr">
        <is>
          <t>https://ridecycleclub.com/</t>
        </is>
      </c>
      <c r="I37" s="12" t="inlineStr">
        <is>
          <t>@ridecycleclub</t>
        </is>
      </c>
      <c r="J37" s="10" t="inlineStr"/>
      <c r="K37" s="10" t="inlineStr"/>
      <c r="L37" s="13" t="inlineStr">
        <is>
          <t>Bring a friend to a ride free.</t>
        </is>
      </c>
      <c r="M37" s="10" t="inlineStr">
        <is>
          <t>Not checked</t>
        </is>
      </c>
      <c r="N37" s="10" t="inlineStr">
        <is>
          <t>Target</t>
        </is>
      </c>
      <c r="S37" s="14" t="n"/>
      <c r="U37" s="14" t="n"/>
      <c r="X37" s="13" t="inlineStr"/>
      <c r="Y37" s="12" t="inlineStr">
        <is>
          <t>https://ridecycleclub.com/</t>
        </is>
      </c>
    </row>
    <row r="38">
      <c r="A38" s="10" t="n">
        <v>37</v>
      </c>
      <c r="B38" s="10" t="n">
        <v>1</v>
      </c>
      <c r="C38" s="11" t="inlineStr">
        <is>
          <t>YogaSpace</t>
        </is>
      </c>
      <c r="D38" s="10" t="inlineStr">
        <is>
          <t>Ossington</t>
        </is>
      </c>
      <c r="E38" s="10" t="inlineStr">
        <is>
          <t>Studio</t>
        </is>
      </c>
      <c r="F38" s="10" t="inlineStr">
        <is>
          <t>Yoga</t>
        </is>
      </c>
      <c r="G38" s="10" t="inlineStr">
        <is>
          <t>699 College St</t>
        </is>
      </c>
      <c r="H38" s="12" t="inlineStr">
        <is>
          <t>https://www.yogaspace.net/</t>
        </is>
      </c>
      <c r="I38" s="12" t="inlineStr">
        <is>
          <t>@yogaspaceto</t>
        </is>
      </c>
      <c r="J38" s="10" t="inlineStr">
        <is>
          <t>416-530-1622</t>
        </is>
      </c>
      <c r="K38" s="10" t="inlineStr"/>
      <c r="L38" s="13" t="inlineStr">
        <is>
          <t>Bring a friend to class free.</t>
        </is>
      </c>
      <c r="M38" s="10" t="inlineStr">
        <is>
          <t>Not checked</t>
        </is>
      </c>
      <c r="N38" s="10" t="inlineStr">
        <is>
          <t>Target</t>
        </is>
      </c>
      <c r="S38" s="14" t="n"/>
      <c r="U38" s="14" t="n"/>
      <c r="X38" s="13" t="inlineStr"/>
      <c r="Y38" s="12" t="inlineStr">
        <is>
          <t>https://www.yogaspace.net/contact</t>
        </is>
      </c>
    </row>
    <row r="39">
      <c r="A39" s="10" t="n">
        <v>38</v>
      </c>
      <c r="B39" s="10" t="n">
        <v>1</v>
      </c>
      <c r="C39" s="11" t="inlineStr">
        <is>
          <t>156 OneFiveSix</t>
        </is>
      </c>
      <c r="D39" s="10" t="inlineStr">
        <is>
          <t>Queen West</t>
        </is>
      </c>
      <c r="E39" s="10" t="inlineStr">
        <is>
          <t>Restaurant</t>
        </is>
      </c>
      <c r="F39" s="10" t="inlineStr">
        <is>
          <t>Korean with French technique</t>
        </is>
      </c>
      <c r="G39" s="10" t="inlineStr">
        <is>
          <t>1100 Queen St W</t>
        </is>
      </c>
      <c r="H39" s="12" t="inlineStr">
        <is>
          <t>https://156onefivesix.com</t>
        </is>
      </c>
      <c r="I39" s="12" t="inlineStr">
        <is>
          <t>@onefivesix_156</t>
        </is>
      </c>
      <c r="J39" s="10" t="inlineStr">
        <is>
          <t>416-469-4150</t>
        </is>
      </c>
      <c r="K39" s="10" t="inlineStr">
        <is>
          <t>$$$</t>
        </is>
      </c>
      <c r="L39" s="13" t="inlineStr">
        <is>
          <t>Michelin-listed Korean dinner spot, open Tuesday to Sunday.</t>
        </is>
      </c>
      <c r="M39" s="10" t="inlineStr">
        <is>
          <t>Not checked</t>
        </is>
      </c>
      <c r="N39" s="10" t="inlineStr">
        <is>
          <t>Target</t>
        </is>
      </c>
      <c r="S39" s="14" t="n"/>
      <c r="U39" s="14" t="n"/>
      <c r="X39" s="13" t="inlineStr"/>
      <c r="Y39" s="12" t="inlineStr">
        <is>
          <t>https://guide.michelin.com/ca/en/ontario/toronto/restaurant/156-onefivesix</t>
        </is>
      </c>
    </row>
    <row r="40">
      <c r="A40" s="10" t="n">
        <v>39</v>
      </c>
      <c r="B40" s="10" t="n">
        <v>1</v>
      </c>
      <c r="C40" s="11" t="inlineStr">
        <is>
          <t>Aleria</t>
        </is>
      </c>
      <c r="D40" s="10" t="inlineStr">
        <is>
          <t>Queen West</t>
        </is>
      </c>
      <c r="E40" s="10" t="inlineStr">
        <is>
          <t>Restaurant</t>
        </is>
      </c>
      <c r="F40" s="10" t="inlineStr">
        <is>
          <t>Greek</t>
        </is>
      </c>
      <c r="G40" s="10" t="inlineStr">
        <is>
          <t>1070 Queen St W</t>
        </is>
      </c>
      <c r="H40" s="12" t="inlineStr">
        <is>
          <t>https://www.aleria.ca</t>
        </is>
      </c>
      <c r="I40" s="12" t="inlineStr">
        <is>
          <t>@aleria1070</t>
        </is>
      </c>
      <c r="J40" s="10" t="inlineStr">
        <is>
          <t>416-519-1109</t>
        </is>
      </c>
      <c r="K40" s="10" t="inlineStr"/>
      <c r="L40" s="13" t="inlineStr">
        <is>
          <t>Greek dining room with space for private dining.</t>
        </is>
      </c>
      <c r="M40" s="10" t="inlineStr">
        <is>
          <t>Not checked</t>
        </is>
      </c>
      <c r="N40" s="10" t="inlineStr">
        <is>
          <t>Target</t>
        </is>
      </c>
      <c r="S40" s="14" t="n"/>
      <c r="U40" s="14" t="n"/>
      <c r="X40" s="13" t="inlineStr">
        <is>
          <t>Check it's open before visiting: weak online evidence.</t>
        </is>
      </c>
      <c r="Y40" s="12" t="inlineStr">
        <is>
          <t>https://www.aleria.ca</t>
        </is>
      </c>
    </row>
    <row r="41">
      <c r="A41" s="10" t="n">
        <v>40</v>
      </c>
      <c r="B41" s="10" t="n">
        <v>1</v>
      </c>
      <c r="C41" s="11" t="inlineStr">
        <is>
          <t>Aloette</t>
        </is>
      </c>
      <c r="D41" s="10" t="inlineStr">
        <is>
          <t>Queen West</t>
        </is>
      </c>
      <c r="E41" s="10" t="inlineStr">
        <is>
          <t>Restaurant</t>
        </is>
      </c>
      <c r="F41" s="10" t="inlineStr">
        <is>
          <t>Contemporary bistro</t>
        </is>
      </c>
      <c r="G41" s="10" t="inlineStr">
        <is>
          <t>163 Spadina Ave</t>
        </is>
      </c>
      <c r="H41" s="12" t="inlineStr">
        <is>
          <t>https://aloetterestaurant.com</t>
        </is>
      </c>
      <c r="I41" s="12" t="inlineStr">
        <is>
          <t>@aloetterestaurants</t>
        </is>
      </c>
      <c r="J41" s="10" t="inlineStr">
        <is>
          <t>416-260-3444</t>
        </is>
      </c>
      <c r="K41" s="10" t="inlineStr">
        <is>
          <t>$$$</t>
        </is>
      </c>
      <c r="L41" s="13" t="inlineStr">
        <is>
          <t>Bistro at Queen and Spadina, the east edge of the area.</t>
        </is>
      </c>
      <c r="M41" s="10" t="inlineStr">
        <is>
          <t>Not checked</t>
        </is>
      </c>
      <c r="N41" s="10" t="inlineStr">
        <is>
          <t>Target</t>
        </is>
      </c>
      <c r="S41" s="14" t="n"/>
      <c r="U41" s="14" t="n"/>
      <c r="X41" s="13" t="inlineStr"/>
      <c r="Y41" s="12" t="inlineStr">
        <is>
          <t>https://guide.michelin.com/ca/en/ontario/toronto/restaurant/aloette</t>
        </is>
      </c>
    </row>
    <row r="42">
      <c r="A42" s="10" t="n">
        <v>41</v>
      </c>
      <c r="B42" s="10" t="n">
        <v>1</v>
      </c>
      <c r="C42" s="11" t="inlineStr">
        <is>
          <t>Bar Prima</t>
        </is>
      </c>
      <c r="D42" s="10" t="inlineStr">
        <is>
          <t>Queen West</t>
        </is>
      </c>
      <c r="E42" s="10" t="inlineStr">
        <is>
          <t>Restaurant</t>
        </is>
      </c>
      <c r="F42" s="10" t="inlineStr">
        <is>
          <t>Italian</t>
        </is>
      </c>
      <c r="G42" s="10" t="inlineStr">
        <is>
          <t>1136 Queen St W</t>
        </is>
      </c>
      <c r="H42" s="12" t="inlineStr">
        <is>
          <t>https://barprima.ca</t>
        </is>
      </c>
      <c r="I42" s="12" t="inlineStr">
        <is>
          <t>@barprima.to</t>
        </is>
      </c>
      <c r="J42" s="10" t="inlineStr">
        <is>
          <t>647-347-9697</t>
        </is>
      </c>
      <c r="K42" s="10" t="inlineStr"/>
      <c r="L42" s="13" t="inlineStr">
        <is>
          <t>Italian spot at the west end of the strip.</t>
        </is>
      </c>
      <c r="M42" s="10" t="inlineStr">
        <is>
          <t>Not checked</t>
        </is>
      </c>
      <c r="N42" s="10" t="inlineStr">
        <is>
          <t>Target</t>
        </is>
      </c>
      <c r="S42" s="14" t="n"/>
      <c r="U42" s="14" t="n"/>
      <c r="X42" s="13" t="inlineStr">
        <is>
          <t>Check it's open before visiting: weak online evidence.</t>
        </is>
      </c>
      <c r="Y42" s="12" t="inlineStr">
        <is>
          <t>https://barprima.ca</t>
        </is>
      </c>
    </row>
    <row r="43">
      <c r="A43" s="10" t="n">
        <v>42</v>
      </c>
      <c r="B43" s="10" t="n">
        <v>1</v>
      </c>
      <c r="C43" s="11" t="inlineStr">
        <is>
          <t>Bar Vendetta</t>
        </is>
      </c>
      <c r="D43" s="10" t="inlineStr">
        <is>
          <t>Queen West</t>
        </is>
      </c>
      <c r="E43" s="10" t="inlineStr">
        <is>
          <t>Restaurant</t>
        </is>
      </c>
      <c r="F43" s="10" t="inlineStr">
        <is>
          <t>Italian</t>
        </is>
      </c>
      <c r="G43" s="10" t="inlineStr">
        <is>
          <t>928 Dundas St W</t>
        </is>
      </c>
      <c r="H43" s="12" t="inlineStr">
        <is>
          <t>https://www.barvendetta.com</t>
        </is>
      </c>
      <c r="I43" s="12" t="inlineStr">
        <is>
          <t>@barvendetta</t>
        </is>
      </c>
      <c r="J43" s="10" t="inlineStr">
        <is>
          <t>416-551-8854</t>
        </is>
      </c>
      <c r="K43" s="10" t="inlineStr">
        <is>
          <t>$$</t>
        </is>
      </c>
      <c r="L43" s="13" t="inlineStr">
        <is>
          <t>Michelin-listed pasta spot that keeps seats for walk-ins.</t>
        </is>
      </c>
      <c r="M43" s="10" t="inlineStr">
        <is>
          <t>Not checked</t>
        </is>
      </c>
      <c r="N43" s="10" t="inlineStr">
        <is>
          <t>Target</t>
        </is>
      </c>
      <c r="S43" s="14" t="n"/>
      <c r="U43" s="14" t="n"/>
      <c r="X43" s="13" t="inlineStr"/>
      <c r="Y43" s="12" t="inlineStr">
        <is>
          <t>https://guide.michelin.com/ca/en/ontario/toronto/restaurant/bar-vendetta</t>
        </is>
      </c>
    </row>
    <row r="44">
      <c r="A44" s="10" t="n">
        <v>43</v>
      </c>
      <c r="B44" s="10" t="n">
        <v>1</v>
      </c>
      <c r="C44" s="11" t="inlineStr">
        <is>
          <t>Cassette (Gladstone House)</t>
        </is>
      </c>
      <c r="D44" s="10" t="inlineStr">
        <is>
          <t>Queen West</t>
        </is>
      </c>
      <c r="E44" s="10" t="inlineStr">
        <is>
          <t>Restaurant</t>
        </is>
      </c>
      <c r="F44" s="10" t="inlineStr">
        <is>
          <t>Comfort food, brunch</t>
        </is>
      </c>
      <c r="G44" s="10" t="inlineStr">
        <is>
          <t>1214 Queen St W</t>
        </is>
      </c>
      <c r="H44" s="12" t="inlineStr">
        <is>
          <t>https://www.gladstonehouse.ca/eat-drink/</t>
        </is>
      </c>
      <c r="I44" s="12" t="inlineStr">
        <is>
          <t>@gladstonehouseto</t>
        </is>
      </c>
      <c r="J44" s="10" t="inlineStr"/>
      <c r="K44" s="10" t="inlineStr"/>
      <c r="L44" s="13" t="inlineStr">
        <is>
          <t>Newer hotel restaurant for weekend brunch and dinner.</t>
        </is>
      </c>
      <c r="M44" s="10" t="inlineStr">
        <is>
          <t>Not checked</t>
        </is>
      </c>
      <c r="N44" s="10" t="inlineStr">
        <is>
          <t>Target</t>
        </is>
      </c>
      <c r="S44" s="14" t="n"/>
      <c r="U44" s="14" t="n"/>
      <c r="X44" s="13" t="inlineStr"/>
      <c r="Y44" s="12" t="inlineStr">
        <is>
          <t>https://tdotevent.ca/blog/queen-west-ossington-bars-restaurants-2026.html</t>
        </is>
      </c>
    </row>
    <row r="45">
      <c r="A45" s="10" t="n">
        <v>44</v>
      </c>
      <c r="B45" s="10" t="n">
        <v>1</v>
      </c>
      <c r="C45" s="11" t="inlineStr">
        <is>
          <t>Chez Nad</t>
        </is>
      </c>
      <c r="D45" s="10" t="inlineStr">
        <is>
          <t>Queen West</t>
        </is>
      </c>
      <c r="E45" s="10" t="inlineStr">
        <is>
          <t>Restaurant</t>
        </is>
      </c>
      <c r="F45" s="10" t="inlineStr">
        <is>
          <t>French bistro</t>
        </is>
      </c>
      <c r="G45" s="10" t="inlineStr">
        <is>
          <t>780 Queen St W</t>
        </is>
      </c>
      <c r="H45" s="12" t="inlineStr">
        <is>
          <t>https://www.cheznad.com</t>
        </is>
      </c>
      <c r="I45" s="12" t="inlineStr">
        <is>
          <t>@cheznadtoronto</t>
        </is>
      </c>
      <c r="J45" s="10" t="inlineStr">
        <is>
          <t>647-265-8864</t>
        </is>
      </c>
      <c r="K45" s="10" t="inlineStr"/>
      <c r="L45" s="13" t="inlineStr">
        <is>
          <t>New Lyonnais bistro behind Nadège, still building weeknights.</t>
        </is>
      </c>
      <c r="M45" s="10" t="inlineStr">
        <is>
          <t>Not checked</t>
        </is>
      </c>
      <c r="N45" s="10" t="inlineStr">
        <is>
          <t>Target</t>
        </is>
      </c>
      <c r="S45" s="14" t="n"/>
      <c r="U45" s="14" t="n"/>
      <c r="X45" s="13" t="inlineStr"/>
      <c r="Y45" s="12" t="inlineStr">
        <is>
          <t>https://retail-insider.com/retail-insider/2026/01/nadege-nourian-launches-chez-nad-in-toronto/</t>
        </is>
      </c>
    </row>
    <row r="46">
      <c r="A46" s="10" t="n">
        <v>45</v>
      </c>
      <c r="B46" s="10" t="n">
        <v>1</v>
      </c>
      <c r="C46" s="11" t="inlineStr">
        <is>
          <t>Fonda Lola</t>
        </is>
      </c>
      <c r="D46" s="10" t="inlineStr">
        <is>
          <t>Queen West</t>
        </is>
      </c>
      <c r="E46" s="10" t="inlineStr">
        <is>
          <t>Restaurant</t>
        </is>
      </c>
      <c r="F46" s="10" t="inlineStr">
        <is>
          <t>Mexican</t>
        </is>
      </c>
      <c r="G46" s="10" t="inlineStr">
        <is>
          <t>942 Queen St W</t>
        </is>
      </c>
      <c r="H46" s="10" t="inlineStr"/>
      <c r="I46" s="10" t="inlineStr"/>
      <c r="J46" s="10" t="inlineStr">
        <is>
          <t>647-706-9105</t>
        </is>
      </c>
      <c r="K46" s="10" t="inlineStr"/>
      <c r="L46" s="13" t="inlineStr">
        <is>
          <t>Neighbourhood Mexican near Shaw, known for tacos and ceviche.</t>
        </is>
      </c>
      <c r="M46" s="10" t="inlineStr">
        <is>
          <t>Not checked</t>
        </is>
      </c>
      <c r="N46" s="10" t="inlineStr">
        <is>
          <t>Target</t>
        </is>
      </c>
      <c r="S46" s="14" t="n"/>
      <c r="U46" s="14" t="n"/>
      <c r="X46" s="13" t="inlineStr"/>
      <c r="Y46" s="12" t="inlineStr">
        <is>
          <t>https://opentable.ca/r/fonda-lola</t>
        </is>
      </c>
    </row>
    <row r="47">
      <c r="A47" s="10" t="n">
        <v>46</v>
      </c>
      <c r="B47" s="10" t="n">
        <v>1</v>
      </c>
      <c r="C47" s="11" t="inlineStr">
        <is>
          <t>Gladstone Bistro (Gladstone House)</t>
        </is>
      </c>
      <c r="D47" s="10" t="inlineStr">
        <is>
          <t>Queen West</t>
        </is>
      </c>
      <c r="E47" s="10" t="inlineStr">
        <is>
          <t>Restaurant</t>
        </is>
      </c>
      <c r="F47" s="10" t="inlineStr">
        <is>
          <t>All-day bistro</t>
        </is>
      </c>
      <c r="G47" s="10" t="inlineStr">
        <is>
          <t>1214 Queen St W</t>
        </is>
      </c>
      <c r="H47" s="12" t="inlineStr">
        <is>
          <t>https://www.gladstonehouse.ca/eat-drink/</t>
        </is>
      </c>
      <c r="I47" s="12" t="inlineStr">
        <is>
          <t>@gladstonehouseto</t>
        </is>
      </c>
      <c r="J47" s="10" t="inlineStr">
        <is>
          <t>416-531-4635</t>
        </is>
      </c>
      <c r="K47" s="10" t="inlineStr"/>
      <c r="L47" s="13" t="inlineStr">
        <is>
          <t>All-day hotel bistro with weekend brunch.</t>
        </is>
      </c>
      <c r="M47" s="10" t="inlineStr">
        <is>
          <t>Not checked</t>
        </is>
      </c>
      <c r="N47" s="10" t="inlineStr">
        <is>
          <t>Target</t>
        </is>
      </c>
      <c r="S47" s="14" t="n"/>
      <c r="U47" s="14" t="n"/>
      <c r="X47" s="13" t="inlineStr"/>
      <c r="Y47" s="12" t="inlineStr">
        <is>
          <t>https://www.gladstonehouse.ca/eat-drink/</t>
        </is>
      </c>
    </row>
    <row r="48">
      <c r="A48" s="10" t="n">
        <v>47</v>
      </c>
      <c r="B48" s="10" t="n">
        <v>1</v>
      </c>
      <c r="C48" s="11" t="inlineStr">
        <is>
          <t>Henry's</t>
        </is>
      </c>
      <c r="D48" s="10" t="inlineStr">
        <is>
          <t>Queen West</t>
        </is>
      </c>
      <c r="E48" s="10" t="inlineStr">
        <is>
          <t>Restaurant</t>
        </is>
      </c>
      <c r="F48" s="10" t="inlineStr">
        <is>
          <t>Contemporary, wine-focused</t>
        </is>
      </c>
      <c r="G48" s="10" t="inlineStr">
        <is>
          <t>922 Queen St W</t>
        </is>
      </c>
      <c r="H48" s="12" t="inlineStr">
        <is>
          <t>https://www.henrystoronto.ca</t>
        </is>
      </c>
      <c r="I48" s="12" t="inlineStr">
        <is>
          <t>@henrys.to</t>
        </is>
      </c>
      <c r="J48" s="10" t="inlineStr">
        <is>
          <t>416-386-5352</t>
        </is>
      </c>
      <c r="K48" s="10" t="inlineStr">
        <is>
          <t>$$$</t>
        </is>
      </c>
      <c r="L48" s="13" t="inlineStr">
        <is>
          <t>Wine-led neighbourhood room with weekend brunch.</t>
        </is>
      </c>
      <c r="M48" s="10" t="inlineStr">
        <is>
          <t>Not checked</t>
        </is>
      </c>
      <c r="N48" s="10" t="inlineStr">
        <is>
          <t>Target</t>
        </is>
      </c>
      <c r="S48" s="14" t="n"/>
      <c r="U48" s="14" t="n"/>
      <c r="X48" s="13" t="inlineStr"/>
      <c r="Y48" s="12" t="inlineStr">
        <is>
          <t>https://guide.michelin.com/ca/en/ontario/toronto/restaurant/henry-s-1203157</t>
        </is>
      </c>
    </row>
    <row r="49">
      <c r="A49" s="10" t="n">
        <v>48</v>
      </c>
      <c r="B49" s="10" t="n">
        <v>1</v>
      </c>
      <c r="C49" s="11" t="inlineStr">
        <is>
          <t>Jamil's Chaat House</t>
        </is>
      </c>
      <c r="D49" s="10" t="inlineStr">
        <is>
          <t>Queen West</t>
        </is>
      </c>
      <c r="E49" s="10" t="inlineStr">
        <is>
          <t>Restaurant</t>
        </is>
      </c>
      <c r="F49" s="10" t="inlineStr">
        <is>
          <t>Pakistani</t>
        </is>
      </c>
      <c r="G49" s="10" t="inlineStr">
        <is>
          <t>1086 Queen St W</t>
        </is>
      </c>
      <c r="H49" s="10" t="inlineStr"/>
      <c r="I49" s="10" t="inlineStr"/>
      <c r="J49" s="10" t="inlineStr"/>
      <c r="K49" s="10" t="inlineStr"/>
      <c r="L49" s="13" t="inlineStr">
        <is>
          <t>Desi street-food dishes served sit-down.</t>
        </is>
      </c>
      <c r="M49" s="10" t="inlineStr">
        <is>
          <t>Not checked</t>
        </is>
      </c>
      <c r="N49" s="10" t="inlineStr">
        <is>
          <t>Target</t>
        </is>
      </c>
      <c r="S49" s="14" t="n"/>
      <c r="U49" s="14" t="n"/>
      <c r="X49" s="13" t="inlineStr"/>
      <c r="Y49" s="12" t="inlineStr">
        <is>
          <t>https://streetsoftoronto.com/food/meet-the-pakistani-restaurant-thats-making-queen-west-cool-again/</t>
        </is>
      </c>
    </row>
    <row r="50">
      <c r="A50" s="10" t="n">
        <v>49</v>
      </c>
      <c r="B50" s="10" t="n">
        <v>1</v>
      </c>
      <c r="C50" s="11" t="inlineStr">
        <is>
          <t>La Palma</t>
        </is>
      </c>
      <c r="D50" s="10" t="inlineStr">
        <is>
          <t>Queen West</t>
        </is>
      </c>
      <c r="E50" s="10" t="inlineStr">
        <is>
          <t>Restaurant</t>
        </is>
      </c>
      <c r="F50" s="10" t="inlineStr">
        <is>
          <t>California-Italian</t>
        </is>
      </c>
      <c r="G50" s="10" t="inlineStr">
        <is>
          <t>849 Dundas St W</t>
        </is>
      </c>
      <c r="H50" s="12" t="inlineStr">
        <is>
          <t>https://lapalma.ca</t>
        </is>
      </c>
      <c r="I50" s="12" t="inlineStr">
        <is>
          <t>@lapalmato</t>
        </is>
      </c>
      <c r="J50" s="10" t="inlineStr">
        <is>
          <t>416-368-4567</t>
        </is>
      </c>
      <c r="K50" s="10" t="inlineStr"/>
      <c r="L50" s="13" t="inlineStr">
        <is>
          <t>Shareable Italian plates near Trinity Bellwoods.</t>
        </is>
      </c>
      <c r="M50" s="10" t="inlineStr">
        <is>
          <t>Not checked</t>
        </is>
      </c>
      <c r="N50" s="10" t="inlineStr">
        <is>
          <t>Target</t>
        </is>
      </c>
      <c r="S50" s="14" t="n"/>
      <c r="U50" s="14" t="n"/>
      <c r="X50" s="13" t="inlineStr"/>
      <c r="Y50" s="12" t="inlineStr">
        <is>
          <t>https://lapalma.ca</t>
        </is>
      </c>
    </row>
    <row r="51">
      <c r="A51" s="10" t="n">
        <v>50</v>
      </c>
      <c r="B51" s="10" t="n">
        <v>1</v>
      </c>
      <c r="C51" s="11" t="inlineStr">
        <is>
          <t>Liliana</t>
        </is>
      </c>
      <c r="D51" s="10" t="inlineStr">
        <is>
          <t>Queen West</t>
        </is>
      </c>
      <c r="E51" s="10" t="inlineStr">
        <is>
          <t>Restaurant</t>
        </is>
      </c>
      <c r="F51" s="10" t="inlineStr">
        <is>
          <t>Italian with Asian influences</t>
        </is>
      </c>
      <c r="G51" s="10" t="inlineStr">
        <is>
          <t>1198 Queen St W</t>
        </is>
      </c>
      <c r="H51" s="12" t="inlineStr">
        <is>
          <t>https://www.lilianatoronto.com</t>
        </is>
      </c>
      <c r="I51" s="12" t="inlineStr">
        <is>
          <t>@lilianarestaurant</t>
        </is>
      </c>
      <c r="J51" s="10" t="inlineStr">
        <is>
          <t>416-539-0101</t>
        </is>
      </c>
      <c r="K51" s="10" t="inlineStr">
        <is>
          <t>$$$$</t>
        </is>
      </c>
      <c r="L51" s="13" t="inlineStr">
        <is>
          <t>Intimate 30-seat room, newly Michelin recommended.</t>
        </is>
      </c>
      <c r="M51" s="10" t="inlineStr">
        <is>
          <t>Not checked</t>
        </is>
      </c>
      <c r="N51" s="10" t="inlineStr">
        <is>
          <t>Target</t>
        </is>
      </c>
      <c r="S51" s="14" t="n"/>
      <c r="U51" s="14" t="n"/>
      <c r="X51" s="13" t="inlineStr"/>
      <c r="Y51" s="12" t="inlineStr">
        <is>
          <t>https://guide.michelin.com/ca/en/ontario/toronto/restaurant/liliana</t>
        </is>
      </c>
    </row>
    <row r="52">
      <c r="A52" s="10" t="n">
        <v>51</v>
      </c>
      <c r="B52" s="10" t="n">
        <v>1</v>
      </c>
      <c r="C52" s="11" t="inlineStr">
        <is>
          <t>Little Ese</t>
        </is>
      </c>
      <c r="D52" s="10" t="inlineStr">
        <is>
          <t>Queen West</t>
        </is>
      </c>
      <c r="E52" s="10" t="inlineStr">
        <is>
          <t>Restaurant</t>
        </is>
      </c>
      <c r="F52" s="10" t="inlineStr">
        <is>
          <t>Pizza, pasta</t>
        </is>
      </c>
      <c r="G52" s="10" t="inlineStr">
        <is>
          <t>875 Queen St W</t>
        </is>
      </c>
      <c r="H52" s="12" t="inlineStr">
        <is>
          <t>https://littleese.com</t>
        </is>
      </c>
      <c r="I52" s="12" t="inlineStr">
        <is>
          <t>@eatlittleese</t>
        </is>
      </c>
      <c r="J52" s="10" t="inlineStr"/>
      <c r="K52" s="10" t="inlineStr"/>
      <c r="L52" s="13" t="inlineStr">
        <is>
          <t>Casual pizza spot across from Trinity Bellwoods with a big patio.</t>
        </is>
      </c>
      <c r="M52" s="10" t="inlineStr">
        <is>
          <t>Not checked</t>
        </is>
      </c>
      <c r="N52" s="10" t="inlineStr">
        <is>
          <t>Target</t>
        </is>
      </c>
      <c r="S52" s="14" t="n"/>
      <c r="U52" s="14" t="n"/>
      <c r="X52" s="13" t="inlineStr">
        <is>
          <t>Check it's open before visiting: weak online evidence.</t>
        </is>
      </c>
      <c r="Y52" s="12" t="inlineStr">
        <is>
          <t>https://www.blogto.com/eat_drink/2025/08/little-ese-plush-cafe-bar-toronto</t>
        </is>
      </c>
    </row>
    <row r="53">
      <c r="A53" s="10" t="n">
        <v>52</v>
      </c>
      <c r="B53" s="10" t="n">
        <v>1</v>
      </c>
      <c r="C53" s="11" t="inlineStr">
        <is>
          <t>Loeithai Kitchen and Bar</t>
        </is>
      </c>
      <c r="D53" s="10" t="inlineStr">
        <is>
          <t>Queen West</t>
        </is>
      </c>
      <c r="E53" s="10" t="inlineStr">
        <is>
          <t>Restaurant</t>
        </is>
      </c>
      <c r="F53" s="10" t="inlineStr">
        <is>
          <t>Thai</t>
        </is>
      </c>
      <c r="G53" s="10" t="inlineStr">
        <is>
          <t>640 Queen St W</t>
        </is>
      </c>
      <c r="H53" s="12" t="inlineStr">
        <is>
          <t>https://loeithai.ca</t>
        </is>
      </c>
      <c r="I53" s="10" t="inlineStr"/>
      <c r="J53" s="10" t="inlineStr">
        <is>
          <t>416-703-0279</t>
        </is>
      </c>
      <c r="K53" s="10" t="inlineStr"/>
      <c r="L53" s="13" t="inlineStr">
        <is>
          <t>Newer Thai room on the east end of the strip.</t>
        </is>
      </c>
      <c r="M53" s="10" t="inlineStr">
        <is>
          <t>Not checked</t>
        </is>
      </c>
      <c r="N53" s="10" t="inlineStr">
        <is>
          <t>Target</t>
        </is>
      </c>
      <c r="S53" s="14" t="n"/>
      <c r="U53" s="14" t="n"/>
      <c r="X53" s="13" t="inlineStr"/>
      <c r="Y53" s="12" t="inlineStr">
        <is>
          <t>https://streetsoftoronto.com/toronto-shopping/best-new-openings-queen-west/</t>
        </is>
      </c>
    </row>
    <row r="54">
      <c r="A54" s="10" t="n">
        <v>53</v>
      </c>
      <c r="B54" s="10" t="n">
        <v>1</v>
      </c>
      <c r="C54" s="11" t="inlineStr">
        <is>
          <t>Oyster Boy</t>
        </is>
      </c>
      <c r="D54" s="10" t="inlineStr">
        <is>
          <t>Queen West</t>
        </is>
      </c>
      <c r="E54" s="10" t="inlineStr">
        <is>
          <t>Restaurant</t>
        </is>
      </c>
      <c r="F54" s="10" t="inlineStr">
        <is>
          <t>Seafood, oysters</t>
        </is>
      </c>
      <c r="G54" s="10" t="inlineStr">
        <is>
          <t>872 Queen St W</t>
        </is>
      </c>
      <c r="H54" s="12" t="inlineStr">
        <is>
          <t>https://oysterboy.ca</t>
        </is>
      </c>
      <c r="I54" s="12" t="inlineStr">
        <is>
          <t>@oysterboytoronto</t>
        </is>
      </c>
      <c r="J54" s="10" t="inlineStr">
        <is>
          <t>416-534-3432</t>
        </is>
      </c>
      <c r="K54" s="10" t="inlineStr"/>
      <c r="L54" s="13" t="inlineStr">
        <is>
          <t>Seafood room open for dinner every night.</t>
        </is>
      </c>
      <c r="M54" s="10" t="inlineStr">
        <is>
          <t>Not checked</t>
        </is>
      </c>
      <c r="N54" s="10" t="inlineStr">
        <is>
          <t>Target</t>
        </is>
      </c>
      <c r="S54" s="14" t="n"/>
      <c r="U54" s="14" t="n"/>
      <c r="X54" s="13" t="inlineStr"/>
      <c r="Y54" s="12" t="inlineStr">
        <is>
          <t>https://oysterboy.ca</t>
        </is>
      </c>
    </row>
    <row r="55">
      <c r="A55" s="10" t="n">
        <v>54</v>
      </c>
      <c r="B55" s="10" t="n">
        <v>1</v>
      </c>
      <c r="C55" s="11" t="inlineStr">
        <is>
          <t>Prime Seafood Palace</t>
        </is>
      </c>
      <c r="D55" s="10" t="inlineStr">
        <is>
          <t>Queen West</t>
        </is>
      </c>
      <c r="E55" s="10" t="inlineStr">
        <is>
          <t>Restaurant</t>
        </is>
      </c>
      <c r="F55" s="10" t="inlineStr">
        <is>
          <t>Steakhouse</t>
        </is>
      </c>
      <c r="G55" s="10" t="inlineStr">
        <is>
          <t>944 Queen St W</t>
        </is>
      </c>
      <c r="H55" s="12" t="inlineStr">
        <is>
          <t>https://primeseafoodpalace.ca</t>
        </is>
      </c>
      <c r="I55" s="10" t="inlineStr"/>
      <c r="J55" s="10" t="inlineStr">
        <is>
          <t>416-551-8038</t>
        </is>
      </c>
      <c r="K55" s="10" t="inlineStr">
        <is>
          <t>$$$$</t>
        </is>
      </c>
      <c r="L55" s="13" t="inlineStr">
        <is>
          <t>High-end steak house, a premium anchor for the list.</t>
        </is>
      </c>
      <c r="M55" s="10" t="inlineStr">
        <is>
          <t>Not checked</t>
        </is>
      </c>
      <c r="N55" s="10" t="inlineStr">
        <is>
          <t>Target</t>
        </is>
      </c>
      <c r="S55" s="14" t="n"/>
      <c r="U55" s="14" t="n"/>
      <c r="X55" s="13" t="inlineStr"/>
      <c r="Y55" s="12" t="inlineStr">
        <is>
          <t>https://guide.michelin.com/ca/en/ontario/toronto/restaurant/prime-seafood-palace</t>
        </is>
      </c>
    </row>
    <row r="56">
      <c r="A56" s="10" t="n">
        <v>55</v>
      </c>
      <c r="B56" s="10" t="n">
        <v>1</v>
      </c>
      <c r="C56" s="11" t="inlineStr">
        <is>
          <t>Terroni Queen</t>
        </is>
      </c>
      <c r="D56" s="10" t="inlineStr">
        <is>
          <t>Queen West</t>
        </is>
      </c>
      <c r="E56" s="10" t="inlineStr">
        <is>
          <t>Restaurant</t>
        </is>
      </c>
      <c r="F56" s="10" t="inlineStr">
        <is>
          <t>Southern Italian</t>
        </is>
      </c>
      <c r="G56" s="10" t="inlineStr">
        <is>
          <t>720 Queen St W</t>
        </is>
      </c>
      <c r="H56" s="12" t="inlineStr">
        <is>
          <t>https://www.terroni.com/locations/terroni-queen</t>
        </is>
      </c>
      <c r="I56" s="12" t="inlineStr">
        <is>
          <t>@terroni.to</t>
        </is>
      </c>
      <c r="J56" s="10" t="inlineStr">
        <is>
          <t>416-504-0320</t>
        </is>
      </c>
      <c r="K56" s="10" t="inlineStr"/>
      <c r="L56" s="13" t="inlineStr">
        <is>
          <t>Original 1992 Terroni with a back patio and weekend brunch.</t>
        </is>
      </c>
      <c r="M56" s="10" t="inlineStr">
        <is>
          <t>Not checked</t>
        </is>
      </c>
      <c r="N56" s="10" t="inlineStr">
        <is>
          <t>Target</t>
        </is>
      </c>
      <c r="S56" s="14" t="n"/>
      <c r="U56" s="14" t="n"/>
      <c r="X56" s="13" t="inlineStr"/>
      <c r="Y56" s="12" t="inlineStr">
        <is>
          <t>https://www.terroni.com/locations/terroni-queen</t>
        </is>
      </c>
    </row>
    <row r="57">
      <c r="A57" s="10" t="n">
        <v>56</v>
      </c>
      <c r="B57" s="10" t="n">
        <v>1</v>
      </c>
      <c r="C57" s="11" t="inlineStr">
        <is>
          <t>The Drake Hotel</t>
        </is>
      </c>
      <c r="D57" s="10" t="inlineStr">
        <is>
          <t>Queen West</t>
        </is>
      </c>
      <c r="E57" s="10" t="inlineStr">
        <is>
          <t>Restaurant</t>
        </is>
      </c>
      <c r="F57" s="10" t="inlineStr">
        <is>
          <t>Hotel restaurant</t>
        </is>
      </c>
      <c r="G57" s="10" t="inlineStr">
        <is>
          <t>1150 Queen St W</t>
        </is>
      </c>
      <c r="H57" s="12" t="inlineStr">
        <is>
          <t>https://thedrake.ca</t>
        </is>
      </c>
      <c r="I57" s="12" t="inlineStr">
        <is>
          <t>@thedrakehotel</t>
        </is>
      </c>
      <c r="J57" s="10" t="inlineStr">
        <is>
          <t>416-531-5042</t>
        </is>
      </c>
      <c r="K57" s="10" t="inlineStr"/>
      <c r="L57" s="13" t="inlineStr">
        <is>
          <t>Boutique hotel dining room, fits a hotel restaurant offer.</t>
        </is>
      </c>
      <c r="M57" s="10" t="inlineStr">
        <is>
          <t>Not checked</t>
        </is>
      </c>
      <c r="N57" s="10" t="inlineStr">
        <is>
          <t>Target</t>
        </is>
      </c>
      <c r="S57" s="14" t="n"/>
      <c r="U57" s="14" t="n"/>
      <c r="X57" s="13" t="inlineStr"/>
      <c r="Y57" s="12" t="inlineStr">
        <is>
          <t>https://thedrake.ca</t>
        </is>
      </c>
    </row>
    <row r="58">
      <c r="A58" s="10" t="n">
        <v>57</v>
      </c>
      <c r="B58" s="10" t="n">
        <v>1</v>
      </c>
      <c r="C58" s="11" t="inlineStr">
        <is>
          <t>The Good Son</t>
        </is>
      </c>
      <c r="D58" s="10" t="inlineStr">
        <is>
          <t>Queen West</t>
        </is>
      </c>
      <c r="E58" s="10" t="inlineStr">
        <is>
          <t>Restaurant</t>
        </is>
      </c>
      <c r="F58" s="10" t="inlineStr">
        <is>
          <t>Wood-fired pizza, comfort food</t>
        </is>
      </c>
      <c r="G58" s="10" t="inlineStr">
        <is>
          <t>1096 Queen St W</t>
        </is>
      </c>
      <c r="H58" s="12" t="inlineStr">
        <is>
          <t>https://thegoodsontoronto.com</t>
        </is>
      </c>
      <c r="I58" s="12" t="inlineStr">
        <is>
          <t>@thegoodson_to</t>
        </is>
      </c>
      <c r="J58" s="10" t="inlineStr">
        <is>
          <t>437-447-5934</t>
        </is>
      </c>
      <c r="K58" s="10" t="inlineStr"/>
      <c r="L58" s="13" t="inlineStr">
        <is>
          <t>Wood-fired pizza and comfort food, an easy weeknight pick.</t>
        </is>
      </c>
      <c r="M58" s="10" t="inlineStr">
        <is>
          <t>Not checked</t>
        </is>
      </c>
      <c r="N58" s="10" t="inlineStr">
        <is>
          <t>Target</t>
        </is>
      </c>
      <c r="S58" s="14" t="n"/>
      <c r="U58" s="14" t="n"/>
      <c r="X58" s="13" t="inlineStr">
        <is>
          <t>Check it's open before visiting: weak online evidence.</t>
        </is>
      </c>
      <c r="Y58" s="12" t="inlineStr">
        <is>
          <t>https://thegoodsontoronto.com</t>
        </is>
      </c>
    </row>
    <row r="59">
      <c r="A59" s="10" t="n">
        <v>58</v>
      </c>
      <c r="B59" s="10" t="n">
        <v>1</v>
      </c>
      <c r="C59" s="11" t="inlineStr">
        <is>
          <t>The Hive by Honey Soul Food</t>
        </is>
      </c>
      <c r="D59" s="10" t="inlineStr">
        <is>
          <t>Queen West</t>
        </is>
      </c>
      <c r="E59" s="10" t="inlineStr">
        <is>
          <t>Restaurant</t>
        </is>
      </c>
      <c r="F59" s="10" t="inlineStr">
        <is>
          <t>Soul food, halal-friendly</t>
        </is>
      </c>
      <c r="G59" s="10" t="inlineStr">
        <is>
          <t>907 Dundas St W</t>
        </is>
      </c>
      <c r="H59" s="10" t="inlineStr"/>
      <c r="I59" s="10" t="inlineStr"/>
      <c r="J59" s="10" t="inlineStr"/>
      <c r="K59" s="10" t="inlineStr"/>
      <c r="L59" s="13" t="inlineStr">
        <is>
          <t>Halal-friendly soul food in the old Saving Grace space.</t>
        </is>
      </c>
      <c r="M59" s="10" t="inlineStr">
        <is>
          <t>Not checked</t>
        </is>
      </c>
      <c r="N59" s="10" t="inlineStr">
        <is>
          <t>Target</t>
        </is>
      </c>
      <c r="S59" s="14" t="n"/>
      <c r="U59" s="14" t="n"/>
      <c r="X59" s="13" t="inlineStr"/>
      <c r="Y59" s="12" t="inlineStr">
        <is>
          <t>https://foodism.ca/eat-drink/bars-restaurants/best-new-restaurants-toronto-fall-2025/</t>
        </is>
      </c>
    </row>
    <row r="60">
      <c r="A60" s="10" t="n">
        <v>59</v>
      </c>
      <c r="B60" s="10" t="n">
        <v>1</v>
      </c>
      <c r="C60" s="11" t="inlineStr">
        <is>
          <t>Sisters &amp; Co</t>
        </is>
      </c>
      <c r="D60" s="10" t="inlineStr">
        <is>
          <t>Queen West</t>
        </is>
      </c>
      <c r="E60" s="10" t="inlineStr">
        <is>
          <t>Brunch</t>
        </is>
      </c>
      <c r="F60" s="10" t="inlineStr">
        <is>
          <t>Asian-inspired brunch</t>
        </is>
      </c>
      <c r="G60" s="10" t="inlineStr">
        <is>
          <t>887 Dundas St W</t>
        </is>
      </c>
      <c r="H60" s="10" t="inlineStr"/>
      <c r="I60" s="10" t="inlineStr"/>
      <c r="J60" s="10" t="inlineStr"/>
      <c r="K60" s="10" t="inlineStr"/>
      <c r="L60" s="13" t="inlineStr">
        <is>
          <t>Friendly brunch spot on the north side of Trinity Bellwoods.</t>
        </is>
      </c>
      <c r="M60" s="10" t="inlineStr">
        <is>
          <t>Not checked</t>
        </is>
      </c>
      <c r="N60" s="10" t="inlineStr">
        <is>
          <t>Target</t>
        </is>
      </c>
      <c r="S60" s="14" t="n"/>
      <c r="U60" s="14" t="n"/>
      <c r="X60" s="13" t="inlineStr"/>
      <c r="Y60" s="12" t="inlineStr">
        <is>
          <t>https://www.ctvnews.ca/toronto/article/this-toronto-restaurant-serves-up-pancakes-endorsed-by-bad-bunny/</t>
        </is>
      </c>
    </row>
    <row r="61">
      <c r="A61" s="10" t="n">
        <v>60</v>
      </c>
      <c r="B61" s="10" t="n">
        <v>1</v>
      </c>
      <c r="C61" s="11" t="inlineStr">
        <is>
          <t>Plush Cafe &amp; Bar</t>
        </is>
      </c>
      <c r="D61" s="10" t="inlineStr">
        <is>
          <t>Queen West</t>
        </is>
      </c>
      <c r="E61" s="10" t="inlineStr">
        <is>
          <t>Café</t>
        </is>
      </c>
      <c r="F61" s="10" t="inlineStr">
        <is>
          <t>Global comfort food, brunch</t>
        </is>
      </c>
      <c r="G61" s="10" t="inlineStr">
        <is>
          <t>897 Queen St W</t>
        </is>
      </c>
      <c r="H61" s="12" t="inlineStr">
        <is>
          <t>https://plushcafe.ca</t>
        </is>
      </c>
      <c r="I61" s="12" t="inlineStr">
        <is>
          <t>@plushcafeto</t>
        </is>
      </c>
      <c r="J61" s="10" t="inlineStr">
        <is>
          <t>647-368-6687</t>
        </is>
      </c>
      <c r="K61" s="10" t="inlineStr"/>
      <c r="L61" s="13" t="inlineStr">
        <is>
          <t>Café by day with brunch and dinner, right across from the park.</t>
        </is>
      </c>
      <c r="M61" s="10" t="inlineStr">
        <is>
          <t>Not checked</t>
        </is>
      </c>
      <c r="N61" s="10" t="inlineStr">
        <is>
          <t>Target</t>
        </is>
      </c>
      <c r="S61" s="14" t="n"/>
      <c r="U61" s="14" t="n"/>
      <c r="X61" s="13" t="inlineStr"/>
      <c r="Y61" s="12" t="inlineStr">
        <is>
          <t>https://www.blogto.com/eat_drink/2026/04/new-cafes-toronto-april-2026/</t>
        </is>
      </c>
    </row>
    <row r="62">
      <c r="A62" s="10" t="n">
        <v>61</v>
      </c>
      <c r="B62" s="10" t="n">
        <v>1</v>
      </c>
      <c r="C62" s="11" t="inlineStr">
        <is>
          <t>Trinity Market</t>
        </is>
      </c>
      <c r="D62" s="10" t="inlineStr">
        <is>
          <t>Queen West</t>
        </is>
      </c>
      <c r="E62" s="10" t="inlineStr">
        <is>
          <t>Café</t>
        </is>
      </c>
      <c r="F62" s="10" t="inlineStr">
        <is>
          <t>Café and snack bar</t>
        </is>
      </c>
      <c r="G62" s="10" t="inlineStr">
        <is>
          <t>768A Queen St W</t>
        </is>
      </c>
      <c r="H62" s="12" t="inlineStr">
        <is>
          <t>https://trinitymarket.ca</t>
        </is>
      </c>
      <c r="I62" s="12" t="inlineStr">
        <is>
          <t>@trinitymarketto</t>
        </is>
      </c>
      <c r="J62" s="10" t="inlineStr">
        <is>
          <t>647-358-3663</t>
        </is>
      </c>
      <c r="K62" s="10" t="inlineStr"/>
      <c r="L62" s="13" t="inlineStr">
        <is>
          <t>Café and snack bar near the park, good for daytime offers.</t>
        </is>
      </c>
      <c r="M62" s="10" t="inlineStr">
        <is>
          <t>Not checked</t>
        </is>
      </c>
      <c r="N62" s="10" t="inlineStr">
        <is>
          <t>Target</t>
        </is>
      </c>
      <c r="S62" s="14" t="n"/>
      <c r="U62" s="14" t="n"/>
      <c r="X62" s="13" t="inlineStr">
        <is>
          <t>Check it's open before visiting: weak online evidence.</t>
        </is>
      </c>
      <c r="Y62" s="12" t="inlineStr">
        <is>
          <t>https://trinitymarket.ca</t>
        </is>
      </c>
    </row>
    <row r="63">
      <c r="A63" s="10" t="n">
        <v>62</v>
      </c>
      <c r="B63" s="10" t="n">
        <v>1</v>
      </c>
      <c r="C63" s="11" t="inlineStr">
        <is>
          <t>Nadège Patisserie</t>
        </is>
      </c>
      <c r="D63" s="10" t="inlineStr">
        <is>
          <t>Queen West</t>
        </is>
      </c>
      <c r="E63" s="10" t="inlineStr">
        <is>
          <t>Bakery</t>
        </is>
      </c>
      <c r="F63" s="10" t="inlineStr">
        <is>
          <t>French pastry</t>
        </is>
      </c>
      <c r="G63" s="10" t="inlineStr">
        <is>
          <t>780 Queen St W</t>
        </is>
      </c>
      <c r="H63" s="10" t="inlineStr"/>
      <c r="I63" s="10" t="inlineStr"/>
      <c r="J63" s="10" t="inlineStr"/>
      <c r="K63" s="10" t="inlineStr"/>
      <c r="L63" s="13" t="inlineStr">
        <is>
          <t>Flagship French pastry shop across from the park.</t>
        </is>
      </c>
      <c r="M63" s="10" t="inlineStr">
        <is>
          <t>Not checked</t>
        </is>
      </c>
      <c r="N63" s="10" t="inlineStr">
        <is>
          <t>Target</t>
        </is>
      </c>
      <c r="S63" s="14" t="n"/>
      <c r="U63" s="14" t="n"/>
      <c r="X63" s="13" t="inlineStr"/>
      <c r="Y63" s="12" t="inlineStr">
        <is>
          <t>https://retail-insider.com/retail-insider/2026/01/nadege-nourian-launches-chez-nad-in-toronto/</t>
        </is>
      </c>
    </row>
    <row r="64">
      <c r="A64" s="10" t="n">
        <v>63</v>
      </c>
      <c r="B64" s="10" t="n">
        <v>1</v>
      </c>
      <c r="C64" s="11" t="inlineStr">
        <is>
          <t>Sud Forno Queen</t>
        </is>
      </c>
      <c r="D64" s="10" t="inlineStr">
        <is>
          <t>Queen West</t>
        </is>
      </c>
      <c r="E64" s="10" t="inlineStr">
        <is>
          <t>Bakery</t>
        </is>
      </c>
      <c r="F64" s="10" t="inlineStr">
        <is>
          <t>Italian bakery and café</t>
        </is>
      </c>
      <c r="G64" s="10" t="inlineStr">
        <is>
          <t>716 Queen St W</t>
        </is>
      </c>
      <c r="H64" s="12" t="inlineStr">
        <is>
          <t>https://www.terroni.com/locations/sud-forno-queen</t>
        </is>
      </c>
      <c r="I64" s="10" t="inlineStr"/>
      <c r="J64" s="10" t="inlineStr"/>
      <c r="K64" s="10" t="inlineStr"/>
      <c r="L64" s="13" t="inlineStr">
        <is>
          <t>Bakery café next to Terroni, suits a coffee and pastry offer.</t>
        </is>
      </c>
      <c r="M64" s="10" t="inlineStr">
        <is>
          <t>Not checked</t>
        </is>
      </c>
      <c r="N64" s="10" t="inlineStr">
        <is>
          <t>Target</t>
        </is>
      </c>
      <c r="S64" s="14" t="n"/>
      <c r="U64" s="14" t="n"/>
      <c r="X64" s="13" t="inlineStr"/>
      <c r="Y64" s="12" t="inlineStr">
        <is>
          <t>https://www.terroni.com/locations/sud-forno-queen</t>
        </is>
      </c>
    </row>
    <row r="65">
      <c r="A65" s="10" t="n">
        <v>64</v>
      </c>
      <c r="B65" s="10" t="n">
        <v>1</v>
      </c>
      <c r="C65" s="11" t="inlineStr">
        <is>
          <t>Imprint Pilates</t>
        </is>
      </c>
      <c r="D65" s="10" t="inlineStr">
        <is>
          <t>Queen West</t>
        </is>
      </c>
      <c r="E65" s="10" t="inlineStr">
        <is>
          <t>Studio</t>
        </is>
      </c>
      <c r="F65" s="10" t="inlineStr">
        <is>
          <t>Pilates (private and semi-private)</t>
        </is>
      </c>
      <c r="G65" s="10" t="inlineStr">
        <is>
          <t>204 Spadina Ave</t>
        </is>
      </c>
      <c r="H65" s="12" t="inlineStr">
        <is>
          <t>https://www.imprintpilates.com/</t>
        </is>
      </c>
      <c r="I65" s="12" t="inlineStr">
        <is>
          <t>@imprintpilates</t>
        </is>
      </c>
      <c r="J65" s="10" t="inlineStr"/>
      <c r="K65" s="10" t="inlineStr"/>
      <c r="L65" s="13" t="inlineStr">
        <is>
          <t>Bring a friend to a semi-private session free.</t>
        </is>
      </c>
      <c r="M65" s="10" t="inlineStr">
        <is>
          <t>Not checked</t>
        </is>
      </c>
      <c r="N65" s="10" t="inlineStr">
        <is>
          <t>Target</t>
        </is>
      </c>
      <c r="S65" s="14" t="n"/>
      <c r="U65" s="14" t="n"/>
      <c r="X65" s="13" t="inlineStr"/>
      <c r="Y65" s="12" t="inlineStr">
        <is>
          <t>https://www.imprintpilates.com/</t>
        </is>
      </c>
    </row>
    <row r="66">
      <c r="A66" s="10" t="n">
        <v>65</v>
      </c>
      <c r="B66" s="10" t="n">
        <v>1</v>
      </c>
      <c r="C66" s="11" t="inlineStr">
        <is>
          <t>Jaybird (Queen West)</t>
        </is>
      </c>
      <c r="D66" s="10" t="inlineStr">
        <is>
          <t>Queen West</t>
        </is>
      </c>
      <c r="E66" s="10" t="inlineStr">
        <is>
          <t>Studio</t>
        </is>
      </c>
      <c r="F66" s="10" t="inlineStr">
        <is>
          <t>Pilates (mat and reformer)</t>
        </is>
      </c>
      <c r="G66" s="10" t="inlineStr">
        <is>
          <t>735 Queen St W</t>
        </is>
      </c>
      <c r="H66" s="12" t="inlineStr">
        <is>
          <t>https://www.jaybirdjaybird.com/</t>
        </is>
      </c>
      <c r="I66" s="10" t="inlineStr"/>
      <c r="J66" s="10" t="inlineStr"/>
      <c r="K66" s="10" t="inlineStr"/>
      <c r="L66" s="13" t="inlineStr">
        <is>
          <t>Bring a friend to a mat class free.</t>
        </is>
      </c>
      <c r="M66" s="10" t="inlineStr">
        <is>
          <t>Not checked</t>
        </is>
      </c>
      <c r="N66" s="10" t="inlineStr">
        <is>
          <t>Target</t>
        </is>
      </c>
      <c r="S66" s="14" t="n"/>
      <c r="U66" s="14" t="n"/>
      <c r="X66" s="13" t="inlineStr"/>
      <c r="Y66" s="12" t="inlineStr">
        <is>
          <t>https://curiocity.com/toronto-wellness-studios-ontario/</t>
        </is>
      </c>
    </row>
    <row r="67">
      <c r="A67" s="10" t="n">
        <v>66</v>
      </c>
      <c r="B67" s="10" t="n">
        <v>1</v>
      </c>
      <c r="C67" s="11" t="inlineStr">
        <is>
          <t>Yoga Tree (Spadina)</t>
        </is>
      </c>
      <c r="D67" s="10" t="inlineStr">
        <is>
          <t>Queen West</t>
        </is>
      </c>
      <c r="E67" s="10" t="inlineStr">
        <is>
          <t>Studio</t>
        </is>
      </c>
      <c r="F67" s="10" t="inlineStr">
        <is>
          <t>Yoga and hot yoga</t>
        </is>
      </c>
      <c r="G67" s="10" t="inlineStr">
        <is>
          <t>140 Spadina Ave</t>
        </is>
      </c>
      <c r="H67" s="12" t="inlineStr">
        <is>
          <t>https://www.yogatree.ca/</t>
        </is>
      </c>
      <c r="I67" s="12" t="inlineStr">
        <is>
          <t>@yogatreestudios</t>
        </is>
      </c>
      <c r="J67" s="10" t="inlineStr"/>
      <c r="K67" s="10" t="inlineStr"/>
      <c r="L67" s="13" t="inlineStr">
        <is>
          <t>Bring a friend to class free.</t>
        </is>
      </c>
      <c r="M67" s="10" t="inlineStr">
        <is>
          <t>Not checked</t>
        </is>
      </c>
      <c r="N67" s="10" t="inlineStr">
        <is>
          <t>Target</t>
        </is>
      </c>
      <c r="S67" s="14" t="n"/>
      <c r="U67" s="14" t="n"/>
      <c r="X67" s="13" t="inlineStr"/>
      <c r="Y67" s="12" t="inlineStr">
        <is>
          <t>https://www.yogatree.ca/locations</t>
        </is>
      </c>
    </row>
    <row r="68">
      <c r="A68" s="10" t="n">
        <v>67</v>
      </c>
      <c r="B68" s="10" t="n">
        <v>1</v>
      </c>
      <c r="C68" s="11" t="inlineStr">
        <is>
          <t>Gladstone House</t>
        </is>
      </c>
      <c r="D68" s="10" t="inlineStr">
        <is>
          <t>Queen West</t>
        </is>
      </c>
      <c r="E68" s="10" t="inlineStr">
        <is>
          <t>Hotel restaurant or spa</t>
        </is>
      </c>
      <c r="F68" s="10" t="inlineStr">
        <is>
          <t>Hotel restaurant</t>
        </is>
      </c>
      <c r="G68" s="10" t="inlineStr">
        <is>
          <t>1214 Queen St W</t>
        </is>
      </c>
      <c r="H68" s="12" t="inlineStr">
        <is>
          <t>https://www.gladstonehouse.ca/</t>
        </is>
      </c>
      <c r="I68" s="12" t="inlineStr">
        <is>
          <t>@gladstonehouseto</t>
        </is>
      </c>
      <c r="J68" s="10" t="inlineStr"/>
      <c r="K68" s="10" t="inlineStr"/>
      <c r="L68" s="13" t="inlineStr">
        <is>
          <t>Second brunch main on us, weekdays.</t>
        </is>
      </c>
      <c r="M68" s="10" t="inlineStr">
        <is>
          <t>Not checked</t>
        </is>
      </c>
      <c r="N68" s="10" t="inlineStr">
        <is>
          <t>Target</t>
        </is>
      </c>
      <c r="S68" s="14" t="n"/>
      <c r="U68" s="14" t="n"/>
      <c r="X68" s="13" t="inlineStr"/>
      <c r="Y68" s="12" t="inlineStr">
        <is>
          <t>https://www.gladstonehouse.ca/</t>
        </is>
      </c>
    </row>
    <row r="69">
      <c r="A69" s="10" t="n">
        <v>68</v>
      </c>
      <c r="B69" s="10" t="n">
        <v>1</v>
      </c>
      <c r="C69" s="11" t="inlineStr">
        <is>
          <t>Aera</t>
        </is>
      </c>
      <c r="D69" s="10" t="inlineStr">
        <is>
          <t>King West</t>
        </is>
      </c>
      <c r="E69" s="10" t="inlineStr">
        <is>
          <t>Restaurant</t>
        </is>
      </c>
      <c r="F69" s="10" t="inlineStr">
        <is>
          <t>Steakhouse and sushi</t>
        </is>
      </c>
      <c r="G69" s="10" t="inlineStr">
        <is>
          <t>8 Spadina Ave, 38th floor (The Well)</t>
        </is>
      </c>
      <c r="H69" s="12" t="inlineStr">
        <is>
          <t>https://aerarestaurant.com/</t>
        </is>
      </c>
      <c r="I69" s="12" t="inlineStr">
        <is>
          <t>@aera.restaurant</t>
        </is>
      </c>
      <c r="J69" s="10" t="inlineStr">
        <is>
          <t>647-258-5207</t>
        </is>
      </c>
      <c r="K69" s="10" t="inlineStr"/>
      <c r="L69" s="13" t="inlineStr">
        <is>
          <t>High-floor dining with views, good for special occasions.</t>
        </is>
      </c>
      <c r="M69" s="10" t="inlineStr">
        <is>
          <t>Not checked</t>
        </is>
      </c>
      <c r="N69" s="10" t="inlineStr">
        <is>
          <t>Target</t>
        </is>
      </c>
      <c r="S69" s="14" t="n"/>
      <c r="U69" s="14" t="n"/>
      <c r="X69" s="13" t="inlineStr"/>
      <c r="Y69" s="12" t="inlineStr">
        <is>
          <t>https://aerarestaurant.com/</t>
        </is>
      </c>
    </row>
    <row r="70">
      <c r="A70" s="10" t="n">
        <v>69</v>
      </c>
      <c r="B70" s="10" t="n">
        <v>1</v>
      </c>
      <c r="C70" s="11" t="inlineStr">
        <is>
          <t>Animl Steakhouse</t>
        </is>
      </c>
      <c r="D70" s="10" t="inlineStr">
        <is>
          <t>King West</t>
        </is>
      </c>
      <c r="E70" s="10" t="inlineStr">
        <is>
          <t>Restaurant</t>
        </is>
      </c>
      <c r="F70" s="10" t="inlineStr">
        <is>
          <t>Steakhouse</t>
        </is>
      </c>
      <c r="G70" s="10" t="inlineStr">
        <is>
          <t>420A Wellington St W</t>
        </is>
      </c>
      <c r="H70" s="12" t="inlineStr">
        <is>
          <t>https://animlsteakhouse.com/</t>
        </is>
      </c>
      <c r="I70" s="10" t="inlineStr"/>
      <c r="J70" s="10" t="inlineStr">
        <is>
          <t>416-764-6094</t>
        </is>
      </c>
      <c r="K70" s="10" t="inlineStr"/>
      <c r="L70" s="13" t="inlineStr">
        <is>
          <t>Premium steakhouse that may want early-week covers.</t>
        </is>
      </c>
      <c r="M70" s="10" t="inlineStr">
        <is>
          <t>Not checked</t>
        </is>
      </c>
      <c r="N70" s="10" t="inlineStr">
        <is>
          <t>Target</t>
        </is>
      </c>
      <c r="S70" s="14" t="n"/>
      <c r="U70" s="14" t="n"/>
      <c r="X70" s="13" t="inlineStr"/>
      <c r="Y70" s="12" t="inlineStr">
        <is>
          <t>https://animlsteakhouse.com/</t>
        </is>
      </c>
    </row>
    <row r="71">
      <c r="A71" s="10" t="n">
        <v>70</v>
      </c>
      <c r="B71" s="10" t="n">
        <v>1</v>
      </c>
      <c r="C71" s="11" t="inlineStr">
        <is>
          <t>Baro</t>
        </is>
      </c>
      <c r="D71" s="10" t="inlineStr">
        <is>
          <t>King West</t>
        </is>
      </c>
      <c r="E71" s="10" t="inlineStr">
        <is>
          <t>Restaurant</t>
        </is>
      </c>
      <c r="F71" s="10" t="inlineStr">
        <is>
          <t>Latin American</t>
        </is>
      </c>
      <c r="G71" s="10" t="inlineStr">
        <is>
          <t>485 King St W</t>
        </is>
      </c>
      <c r="H71" s="12" t="inlineStr">
        <is>
          <t>https://barotoronto.com/</t>
        </is>
      </c>
      <c r="I71" s="12" t="inlineStr">
        <is>
          <t>@barotoronto</t>
        </is>
      </c>
      <c r="J71" s="10" t="inlineStr">
        <is>
          <t>416-363-8388</t>
        </is>
      </c>
      <c r="K71" s="10" t="inlineStr"/>
      <c r="L71" s="13" t="inlineStr">
        <is>
          <t>Large Latin room, quieter on Monday to Wednesday nights.</t>
        </is>
      </c>
      <c r="M71" s="10" t="inlineStr">
        <is>
          <t>Not checked</t>
        </is>
      </c>
      <c r="N71" s="10" t="inlineStr">
        <is>
          <t>Target</t>
        </is>
      </c>
      <c r="S71" s="14" t="n"/>
      <c r="U71" s="14" t="n"/>
      <c r="X71" s="13" t="inlineStr"/>
      <c r="Y71" s="12" t="inlineStr">
        <is>
          <t>https://barotoronto.com/</t>
        </is>
      </c>
    </row>
    <row r="72">
      <c r="A72" s="10" t="n">
        <v>71</v>
      </c>
      <c r="B72" s="10" t="n">
        <v>1</v>
      </c>
      <c r="C72" s="11" t="inlineStr">
        <is>
          <t>Bridgette Bar</t>
        </is>
      </c>
      <c r="D72" s="10" t="inlineStr">
        <is>
          <t>King West</t>
        </is>
      </c>
      <c r="E72" s="10" t="inlineStr">
        <is>
          <t>Restaurant</t>
        </is>
      </c>
      <c r="F72" s="10" t="inlineStr">
        <is>
          <t>Mediterranean</t>
        </is>
      </c>
      <c r="G72" s="10" t="inlineStr">
        <is>
          <t>423 Wellington St W</t>
        </is>
      </c>
      <c r="H72" s="12" t="inlineStr">
        <is>
          <t>https://www.bridgettebar.com/</t>
        </is>
      </c>
      <c r="I72" s="12" t="inlineStr">
        <is>
          <t>@thebridgettebar</t>
        </is>
      </c>
      <c r="J72" s="10" t="inlineStr">
        <is>
          <t>647-258-5203</t>
        </is>
      </c>
      <c r="K72" s="10" t="inlineStr"/>
      <c r="L72" s="13" t="inlineStr">
        <is>
          <t>Chef-driven room at The Well with a lunch crowd from nearby offices.</t>
        </is>
      </c>
      <c r="M72" s="10" t="inlineStr">
        <is>
          <t>Not checked</t>
        </is>
      </c>
      <c r="N72" s="10" t="inlineStr">
        <is>
          <t>Target</t>
        </is>
      </c>
      <c r="S72" s="14" t="n"/>
      <c r="U72" s="14" t="n"/>
      <c r="X72" s="13" t="inlineStr"/>
      <c r="Y72" s="12" t="inlineStr">
        <is>
          <t>https://www.opentable.com.au/r/bridgette-bar-toronto</t>
        </is>
      </c>
    </row>
    <row r="73">
      <c r="A73" s="10" t="n">
        <v>72</v>
      </c>
      <c r="B73" s="10" t="n">
        <v>1</v>
      </c>
      <c r="C73" s="11" t="inlineStr">
        <is>
          <t>Buca</t>
        </is>
      </c>
      <c r="D73" s="10" t="inlineStr">
        <is>
          <t>King West</t>
        </is>
      </c>
      <c r="E73" s="10" t="inlineStr">
        <is>
          <t>Restaurant</t>
        </is>
      </c>
      <c r="F73" s="10" t="inlineStr">
        <is>
          <t>Italian</t>
        </is>
      </c>
      <c r="G73" s="10" t="inlineStr">
        <is>
          <t>604 King St W</t>
        </is>
      </c>
      <c r="H73" s="12" t="inlineStr">
        <is>
          <t>https://buca.ca/</t>
        </is>
      </c>
      <c r="I73" s="12" t="inlineStr">
        <is>
          <t>@bucatoronto</t>
        </is>
      </c>
      <c r="J73" s="10" t="inlineStr">
        <is>
          <t>416-865-1600</t>
        </is>
      </c>
      <c r="K73" s="10" t="inlineStr"/>
      <c r="L73" s="13" t="inlineStr">
        <is>
          <t>Premium Italian, ideal flagship partner for a curated list.</t>
        </is>
      </c>
      <c r="M73" s="10" t="inlineStr">
        <is>
          <t>Not checked</t>
        </is>
      </c>
      <c r="N73" s="10" t="inlineStr">
        <is>
          <t>Target</t>
        </is>
      </c>
      <c r="S73" s="14" t="n"/>
      <c r="U73" s="14" t="n"/>
      <c r="X73" s="13" t="inlineStr"/>
      <c r="Y73" s="12" t="inlineStr">
        <is>
          <t>https://buca.ca/</t>
        </is>
      </c>
    </row>
    <row r="74">
      <c r="A74" s="10" t="n">
        <v>73</v>
      </c>
      <c r="B74" s="10" t="n">
        <v>1</v>
      </c>
      <c r="C74" s="11" t="inlineStr">
        <is>
          <t>Campechano</t>
        </is>
      </c>
      <c r="D74" s="10" t="inlineStr">
        <is>
          <t>King West</t>
        </is>
      </c>
      <c r="E74" s="10" t="inlineStr">
        <is>
          <t>Restaurant</t>
        </is>
      </c>
      <c r="F74" s="10" t="inlineStr">
        <is>
          <t>Mexican</t>
        </is>
      </c>
      <c r="G74" s="10" t="inlineStr">
        <is>
          <t>504 Adelaide St W</t>
        </is>
      </c>
      <c r="H74" s="12" t="inlineStr">
        <is>
          <t>https://campechano.ca/</t>
        </is>
      </c>
      <c r="I74" s="10" t="inlineStr"/>
      <c r="J74" s="10" t="inlineStr">
        <is>
          <t>416-777-2800</t>
        </is>
      </c>
      <c r="K74" s="10" t="inlineStr"/>
      <c r="L74" s="13" t="inlineStr">
        <is>
          <t>Casual taqueria for a weeknight bite with a friend.</t>
        </is>
      </c>
      <c r="M74" s="10" t="inlineStr">
        <is>
          <t>Not checked</t>
        </is>
      </c>
      <c r="N74" s="10" t="inlineStr">
        <is>
          <t>Target</t>
        </is>
      </c>
      <c r="S74" s="14" t="n"/>
      <c r="U74" s="14" t="n"/>
      <c r="X74" s="13" t="inlineStr"/>
      <c r="Y74" s="12" t="inlineStr">
        <is>
          <t>https://campechano.ca/</t>
        </is>
      </c>
    </row>
    <row r="75">
      <c r="A75" s="10" t="n">
        <v>74</v>
      </c>
      <c r="B75" s="10" t="n">
        <v>1</v>
      </c>
      <c r="C75" s="11" t="inlineStr">
        <is>
          <t>Cassius</t>
        </is>
      </c>
      <c r="D75" s="10" t="inlineStr">
        <is>
          <t>King West</t>
        </is>
      </c>
      <c r="E75" s="10" t="inlineStr">
        <is>
          <t>Restaurant</t>
        </is>
      </c>
      <c r="F75" s="10" t="inlineStr">
        <is>
          <t>Italian</t>
        </is>
      </c>
      <c r="G75" s="10" t="inlineStr">
        <is>
          <t>624 King St W</t>
        </is>
      </c>
      <c r="H75" s="12" t="inlineStr">
        <is>
          <t>https://www.cassiusonking.com/</t>
        </is>
      </c>
      <c r="I75" s="12" t="inlineStr">
        <is>
          <t>@cassiusonking</t>
        </is>
      </c>
      <c r="J75" s="10" t="inlineStr">
        <is>
          <t>416-777-9779</t>
        </is>
      </c>
      <c r="K75" s="10" t="inlineStr"/>
      <c r="L75" s="13" t="inlineStr">
        <is>
          <t>New Italian room on King West, good for date nights early in the week.</t>
        </is>
      </c>
      <c r="M75" s="10" t="inlineStr">
        <is>
          <t>Not checked</t>
        </is>
      </c>
      <c r="N75" s="10" t="inlineStr">
        <is>
          <t>Target</t>
        </is>
      </c>
      <c r="S75" s="14" t="n"/>
      <c r="U75" s="14" t="n"/>
      <c r="X75" s="13" t="inlineStr"/>
      <c r="Y75" s="12" t="inlineStr">
        <is>
          <t>https://www.cassiusonking.com/</t>
        </is>
      </c>
    </row>
    <row r="76">
      <c r="A76" s="10" t="n">
        <v>75</v>
      </c>
      <c r="B76" s="10" t="n">
        <v>1</v>
      </c>
      <c r="C76" s="11" t="inlineStr">
        <is>
          <t>Chubby's Jamaican Kitchen</t>
        </is>
      </c>
      <c r="D76" s="10" t="inlineStr">
        <is>
          <t>King West</t>
        </is>
      </c>
      <c r="E76" s="10" t="inlineStr">
        <is>
          <t>Restaurant</t>
        </is>
      </c>
      <c r="F76" s="10" t="inlineStr">
        <is>
          <t>Caribbean</t>
        </is>
      </c>
      <c r="G76" s="10" t="inlineStr">
        <is>
          <t>104 Portland St</t>
        </is>
      </c>
      <c r="H76" s="12" t="inlineStr">
        <is>
          <t>https://chubbysjamaican.com/</t>
        </is>
      </c>
      <c r="I76" s="12" t="inlineStr">
        <is>
          <t>@chubbysjamaican</t>
        </is>
      </c>
      <c r="J76" s="10" t="inlineStr">
        <is>
          <t>416-792-8105</t>
        </is>
      </c>
      <c r="K76" s="10" t="inlineStr">
        <is>
          <t>$$$</t>
        </is>
      </c>
      <c r="L76" s="13" t="inlineStr">
        <is>
          <t>Lively Jamaican spot with brunch, popular with groups.</t>
        </is>
      </c>
      <c r="M76" s="10" t="inlineStr">
        <is>
          <t>Not checked</t>
        </is>
      </c>
      <c r="N76" s="10" t="inlineStr">
        <is>
          <t>Target</t>
        </is>
      </c>
      <c r="S76" s="14" t="n"/>
      <c r="U76" s="14" t="n"/>
      <c r="X76" s="13" t="inlineStr"/>
      <c r="Y76" s="12" t="inlineStr">
        <is>
          <t>https://www.opentable.ca/r/chubbys-jamaican-kitchen-toronto</t>
        </is>
      </c>
    </row>
    <row r="77">
      <c r="A77" s="10" t="n">
        <v>76</v>
      </c>
      <c r="B77" s="10" t="n">
        <v>1</v>
      </c>
      <c r="C77" s="11" t="inlineStr">
        <is>
          <t>Edulis</t>
        </is>
      </c>
      <c r="D77" s="10" t="inlineStr">
        <is>
          <t>King West</t>
        </is>
      </c>
      <c r="E77" s="10" t="inlineStr">
        <is>
          <t>Restaurant</t>
        </is>
      </c>
      <c r="F77" s="10" t="inlineStr">
        <is>
          <t>Seasonal</t>
        </is>
      </c>
      <c r="G77" s="10" t="inlineStr">
        <is>
          <t>169 Niagara St</t>
        </is>
      </c>
      <c r="H77" s="12" t="inlineStr">
        <is>
          <t>https://www.edulisrestaurant.com/</t>
        </is>
      </c>
      <c r="I77" s="10" t="inlineStr"/>
      <c r="J77" s="10" t="inlineStr">
        <is>
          <t>416-703-4222</t>
        </is>
      </c>
      <c r="K77" s="10" t="inlineStr"/>
      <c r="L77" s="13" t="inlineStr">
        <is>
          <t>Small chef-owned room; a hand-picked partner with real credibility.</t>
        </is>
      </c>
      <c r="M77" s="10" t="inlineStr">
        <is>
          <t>Not checked</t>
        </is>
      </c>
      <c r="N77" s="10" t="inlineStr">
        <is>
          <t>Target</t>
        </is>
      </c>
      <c r="S77" s="14" t="n"/>
      <c r="U77" s="14" t="n"/>
      <c r="X77" s="13" t="inlineStr">
        <is>
          <t>Check it's open before visiting: weak online evidence.</t>
        </is>
      </c>
      <c r="Y77" s="12" t="inlineStr">
        <is>
          <t>https://www.edulisrestaurant.com/</t>
        </is>
      </c>
    </row>
    <row r="78">
      <c r="A78" s="10" t="n">
        <v>77</v>
      </c>
      <c r="B78" s="10" t="n">
        <v>1</v>
      </c>
      <c r="C78" s="11" t="inlineStr">
        <is>
          <t>Gusto 101</t>
        </is>
      </c>
      <c r="D78" s="10" t="inlineStr">
        <is>
          <t>King West</t>
        </is>
      </c>
      <c r="E78" s="10" t="inlineStr">
        <is>
          <t>Restaurant</t>
        </is>
      </c>
      <c r="F78" s="10" t="inlineStr">
        <is>
          <t>Italian</t>
        </is>
      </c>
      <c r="G78" s="10" t="inlineStr">
        <is>
          <t>101 Portland St</t>
        </is>
      </c>
      <c r="H78" s="12" t="inlineStr">
        <is>
          <t>https://www.gusto101.com/</t>
        </is>
      </c>
      <c r="I78" s="10" t="inlineStr"/>
      <c r="J78" s="10" t="inlineStr">
        <is>
          <t>416-504-9669</t>
        </is>
      </c>
      <c r="K78" s="10" t="inlineStr"/>
      <c r="L78" s="13" t="inlineStr">
        <is>
          <t>Busy Italian with a rooftop patio, well known to the target crowd.</t>
        </is>
      </c>
      <c r="M78" s="10" t="inlineStr">
        <is>
          <t>Not checked</t>
        </is>
      </c>
      <c r="N78" s="10" t="inlineStr">
        <is>
          <t>Target</t>
        </is>
      </c>
      <c r="S78" s="14" t="n"/>
      <c r="U78" s="14" t="n"/>
      <c r="X78" s="13" t="inlineStr">
        <is>
          <t>Check it's open before visiting: weak online evidence.</t>
        </is>
      </c>
      <c r="Y78" s="12" t="inlineStr">
        <is>
          <t>https://www.opentable.ca/gusto-101-reservations-toronto</t>
        </is>
      </c>
    </row>
    <row r="79">
      <c r="A79" s="10" t="n">
        <v>78</v>
      </c>
      <c r="B79" s="10" t="n">
        <v>1</v>
      </c>
      <c r="C79" s="11" t="inlineStr">
        <is>
          <t>Honey Chinese</t>
        </is>
      </c>
      <c r="D79" s="10" t="inlineStr">
        <is>
          <t>King West</t>
        </is>
      </c>
      <c r="E79" s="10" t="inlineStr">
        <is>
          <t>Restaurant</t>
        </is>
      </c>
      <c r="F79" s="10" t="inlineStr">
        <is>
          <t>Chinese</t>
        </is>
      </c>
      <c r="G79" s="10" t="inlineStr">
        <is>
          <t>600 King St W, 3rd floor (Portland Square)</t>
        </is>
      </c>
      <c r="H79" s="12" t="inlineStr">
        <is>
          <t>https://honeychineseto.com/</t>
        </is>
      </c>
      <c r="I79" s="12" t="inlineStr">
        <is>
          <t>@honeychineseto</t>
        </is>
      </c>
      <c r="J79" s="10" t="inlineStr">
        <is>
          <t>437-222-6142</t>
        </is>
      </c>
      <c r="K79" s="10" t="inlineStr"/>
      <c r="L79" s="13" t="inlineStr">
        <is>
          <t>Upscale Chinese in Portland Square, a fit for group and date dinners.</t>
        </is>
      </c>
      <c r="M79" s="10" t="inlineStr">
        <is>
          <t>Not checked</t>
        </is>
      </c>
      <c r="N79" s="10" t="inlineStr">
        <is>
          <t>Target</t>
        </is>
      </c>
      <c r="S79" s="14" t="n"/>
      <c r="U79" s="14" t="n"/>
      <c r="X79" s="13" t="inlineStr"/>
      <c r="Y79" s="12" t="inlineStr">
        <is>
          <t>https://penthousequeen.com/blog/the-corner-where-king-west-is-arguing-with-itself</t>
        </is>
      </c>
    </row>
    <row r="80">
      <c r="A80" s="10" t="n">
        <v>79</v>
      </c>
      <c r="B80" s="10" t="n">
        <v>1</v>
      </c>
      <c r="C80" s="11" t="inlineStr">
        <is>
          <t>La Plume Brasserie</t>
        </is>
      </c>
      <c r="D80" s="10" t="inlineStr">
        <is>
          <t>King West</t>
        </is>
      </c>
      <c r="E80" s="10" t="inlineStr">
        <is>
          <t>Restaurant</t>
        </is>
      </c>
      <c r="F80" s="10" t="inlineStr">
        <is>
          <t>French</t>
        </is>
      </c>
      <c r="G80" s="10" t="inlineStr">
        <is>
          <t>453 Wellington St W</t>
        </is>
      </c>
      <c r="H80" s="12" t="inlineStr">
        <is>
          <t>https://www.laplumebrasserie.com/</t>
        </is>
      </c>
      <c r="I80" s="12" t="inlineStr">
        <is>
          <t>@laplumebrasserie</t>
        </is>
      </c>
      <c r="J80" s="10" t="inlineStr">
        <is>
          <t>647-258-5205</t>
        </is>
      </c>
      <c r="K80" s="10" t="inlineStr"/>
      <c r="L80" s="13" t="inlineStr">
        <is>
          <t>French brasserie with weekend brunch, near The Well offices.</t>
        </is>
      </c>
      <c r="M80" s="10" t="inlineStr">
        <is>
          <t>Not checked</t>
        </is>
      </c>
      <c r="N80" s="10" t="inlineStr">
        <is>
          <t>Target</t>
        </is>
      </c>
      <c r="S80" s="14" t="n"/>
      <c r="U80" s="14" t="n"/>
      <c r="X80" s="13" t="inlineStr"/>
      <c r="Y80" s="12" t="inlineStr">
        <is>
          <t>https://www.laplumebrasserie.com/</t>
        </is>
      </c>
    </row>
    <row r="81">
      <c r="A81" s="10" t="n">
        <v>80</v>
      </c>
      <c r="B81" s="10" t="n">
        <v>1</v>
      </c>
      <c r="C81" s="11" t="inlineStr">
        <is>
          <t>Laissez Faire</t>
        </is>
      </c>
      <c r="D81" s="10" t="inlineStr">
        <is>
          <t>King West</t>
        </is>
      </c>
      <c r="E81" s="10" t="inlineStr">
        <is>
          <t>Restaurant</t>
        </is>
      </c>
      <c r="F81" s="10" t="inlineStr">
        <is>
          <t>French-Mediterranean</t>
        </is>
      </c>
      <c r="G81" s="10" t="inlineStr">
        <is>
          <t>589 King St W</t>
        </is>
      </c>
      <c r="H81" s="12" t="inlineStr">
        <is>
          <t>https://laissezfairetoronto.com/</t>
        </is>
      </c>
      <c r="I81" s="12" t="inlineStr">
        <is>
          <t>@laissezfairetoronto</t>
        </is>
      </c>
      <c r="J81" s="10" t="inlineStr">
        <is>
          <t>647-508-5088</t>
        </is>
      </c>
      <c r="K81" s="10" t="inlineStr">
        <is>
          <t>$$</t>
        </is>
      </c>
      <c r="L81" s="13" t="inlineStr">
        <is>
          <t>Weekend brunch and dinner at King and Portland, approachable prices.</t>
        </is>
      </c>
      <c r="M81" s="10" t="inlineStr">
        <is>
          <t>Not checked</t>
        </is>
      </c>
      <c r="N81" s="10" t="inlineStr">
        <is>
          <t>Target</t>
        </is>
      </c>
      <c r="S81" s="14" t="n"/>
      <c r="U81" s="14" t="n"/>
      <c r="X81" s="13" t="inlineStr"/>
      <c r="Y81" s="12" t="inlineStr">
        <is>
          <t>https://www.opentable.ca/r/laissez-faire-toronto</t>
        </is>
      </c>
    </row>
    <row r="82">
      <c r="A82" s="10" t="n">
        <v>81</v>
      </c>
      <c r="B82" s="10" t="n">
        <v>1</v>
      </c>
      <c r="C82" s="11" t="inlineStr">
        <is>
          <t>Le Select Bistro</t>
        </is>
      </c>
      <c r="D82" s="10" t="inlineStr">
        <is>
          <t>King West</t>
        </is>
      </c>
      <c r="E82" s="10" t="inlineStr">
        <is>
          <t>Restaurant</t>
        </is>
      </c>
      <c r="F82" s="10" t="inlineStr">
        <is>
          <t>French</t>
        </is>
      </c>
      <c r="G82" s="10" t="inlineStr">
        <is>
          <t>432 Wellington St W</t>
        </is>
      </c>
      <c r="H82" s="10" t="inlineStr"/>
      <c r="I82" s="10" t="inlineStr"/>
      <c r="J82" s="10" t="inlineStr">
        <is>
          <t>416-596-6405</t>
        </is>
      </c>
      <c r="K82" s="10" t="inlineStr"/>
      <c r="L82" s="13" t="inlineStr">
        <is>
          <t>Long-running French bistro with brunch; a staple for date nights.</t>
        </is>
      </c>
      <c r="M82" s="10" t="inlineStr">
        <is>
          <t>Not checked</t>
        </is>
      </c>
      <c r="N82" s="10" t="inlineStr">
        <is>
          <t>Target</t>
        </is>
      </c>
      <c r="S82" s="14" t="n"/>
      <c r="U82" s="14" t="n"/>
      <c r="X82" s="13" t="inlineStr">
        <is>
          <t>Check it's open before visiting: weak online evidence.</t>
        </is>
      </c>
      <c r="Y82" s="12" t="inlineStr">
        <is>
          <t>https://www.opentable.ca/r/le-select-bistro-toronto</t>
        </is>
      </c>
    </row>
    <row r="83">
      <c r="A83" s="10" t="n">
        <v>82</v>
      </c>
      <c r="B83" s="10" t="n">
        <v>1</v>
      </c>
      <c r="C83" s="11" t="inlineStr">
        <is>
          <t>Little Baba</t>
        </is>
      </c>
      <c r="D83" s="10" t="inlineStr">
        <is>
          <t>King West</t>
        </is>
      </c>
      <c r="E83" s="10" t="inlineStr">
        <is>
          <t>Restaurant</t>
        </is>
      </c>
      <c r="F83" s="10" t="inlineStr">
        <is>
          <t>Middle Eastern</t>
        </is>
      </c>
      <c r="G83" s="10" t="inlineStr">
        <is>
          <t>75 Portland St</t>
        </is>
      </c>
      <c r="H83" s="12" t="inlineStr">
        <is>
          <t>https://littlebaba.com/</t>
        </is>
      </c>
      <c r="I83" s="12" t="inlineStr">
        <is>
          <t>@littlebaba.to</t>
        </is>
      </c>
      <c r="J83" s="10" t="inlineStr">
        <is>
          <t>647-265-8237</t>
        </is>
      </c>
      <c r="K83" s="10" t="inlineStr"/>
      <c r="L83" s="13" t="inlineStr">
        <is>
          <t>Shareable Middle Eastern plates suit a bring-a-friend offer.</t>
        </is>
      </c>
      <c r="M83" s="10" t="inlineStr">
        <is>
          <t>Not checked</t>
        </is>
      </c>
      <c r="N83" s="10" t="inlineStr">
        <is>
          <t>Target</t>
        </is>
      </c>
      <c r="S83" s="14" t="n"/>
      <c r="U83" s="14" t="n"/>
      <c r="X83" s="13" t="inlineStr"/>
      <c r="Y83" s="12" t="inlineStr">
        <is>
          <t>https://littlebaba.com/</t>
        </is>
      </c>
    </row>
    <row r="84">
      <c r="A84" s="10" t="n">
        <v>83</v>
      </c>
      <c r="B84" s="10" t="n">
        <v>1</v>
      </c>
      <c r="C84" s="11" t="inlineStr">
        <is>
          <t>Mademoiselle Raw Bar + Grill</t>
        </is>
      </c>
      <c r="D84" s="10" t="inlineStr">
        <is>
          <t>King West</t>
        </is>
      </c>
      <c r="E84" s="10" t="inlineStr">
        <is>
          <t>Restaurant</t>
        </is>
      </c>
      <c r="F84" s="10" t="inlineStr">
        <is>
          <t>Seafood</t>
        </is>
      </c>
      <c r="G84" s="10" t="inlineStr">
        <is>
          <t>563 King St W</t>
        </is>
      </c>
      <c r="H84" s="12" t="inlineStr">
        <is>
          <t>http://mademoiselleto.com/</t>
        </is>
      </c>
      <c r="I84" s="12" t="inlineStr">
        <is>
          <t>@mademoiselleto</t>
        </is>
      </c>
      <c r="J84" s="10" t="inlineStr">
        <is>
          <t>416-598-2003</t>
        </is>
      </c>
      <c r="K84" s="10" t="inlineStr"/>
      <c r="L84" s="13" t="inlineStr">
        <is>
          <t>Seafood and grill for special dinners, room to fill early in the week.</t>
        </is>
      </c>
      <c r="M84" s="10" t="inlineStr">
        <is>
          <t>Not checked</t>
        </is>
      </c>
      <c r="N84" s="10" t="inlineStr">
        <is>
          <t>Target</t>
        </is>
      </c>
      <c r="S84" s="14" t="n"/>
      <c r="U84" s="14" t="n"/>
      <c r="X84" s="13" t="inlineStr"/>
      <c r="Y84" s="12" t="inlineStr">
        <is>
          <t>http://mademoiselleto.com/</t>
        </is>
      </c>
    </row>
    <row r="85">
      <c r="A85" s="10" t="n">
        <v>84</v>
      </c>
      <c r="B85" s="10" t="n">
        <v>1</v>
      </c>
      <c r="C85" s="11" t="inlineStr">
        <is>
          <t>Miss Likklemore's</t>
        </is>
      </c>
      <c r="D85" s="10" t="inlineStr">
        <is>
          <t>King West</t>
        </is>
      </c>
      <c r="E85" s="10" t="inlineStr">
        <is>
          <t>Restaurant</t>
        </is>
      </c>
      <c r="F85" s="10" t="inlineStr">
        <is>
          <t>Caribbean</t>
        </is>
      </c>
      <c r="G85" s="10" t="inlineStr">
        <is>
          <t>433 King St W</t>
        </is>
      </c>
      <c r="H85" s="12" t="inlineStr">
        <is>
          <t>https://misslikklemores.com/</t>
        </is>
      </c>
      <c r="I85" s="10" t="inlineStr"/>
      <c r="J85" s="10" t="inlineStr">
        <is>
          <t>647-484-8789</t>
        </is>
      </c>
      <c r="K85" s="10" t="inlineStr"/>
      <c r="L85" s="13" t="inlineStr">
        <is>
          <t>Upscale Caribbean with a family-style menu that suits sharing.</t>
        </is>
      </c>
      <c r="M85" s="10" t="inlineStr">
        <is>
          <t>Not checked</t>
        </is>
      </c>
      <c r="N85" s="10" t="inlineStr">
        <is>
          <t>Target</t>
        </is>
      </c>
      <c r="S85" s="14" t="n"/>
      <c r="U85" s="14" t="n"/>
      <c r="X85" s="13" t="inlineStr"/>
      <c r="Y85" s="12" t="inlineStr">
        <is>
          <t>https://streetsoftoronto.com/restaurant/miss-likklemores/</t>
        </is>
      </c>
    </row>
    <row r="86">
      <c r="A86" s="10" t="n">
        <v>85</v>
      </c>
      <c r="B86" s="10" t="n">
        <v>1</v>
      </c>
      <c r="C86" s="11" t="inlineStr">
        <is>
          <t>Myth</t>
        </is>
      </c>
      <c r="D86" s="10" t="inlineStr">
        <is>
          <t>King West</t>
        </is>
      </c>
      <c r="E86" s="10" t="inlineStr">
        <is>
          <t>Restaurant</t>
        </is>
      </c>
      <c r="F86" s="10" t="inlineStr">
        <is>
          <t>Greek</t>
        </is>
      </c>
      <c r="G86" s="10" t="inlineStr">
        <is>
          <t>522 King St W</t>
        </is>
      </c>
      <c r="H86" s="12" t="inlineStr">
        <is>
          <t>https://mythrestaurant.com/</t>
        </is>
      </c>
      <c r="I86" s="10" t="inlineStr"/>
      <c r="J86" s="10" t="inlineStr">
        <is>
          <t>416-703-2800</t>
        </is>
      </c>
      <c r="K86" s="10" t="inlineStr">
        <is>
          <t>$$$$</t>
        </is>
      </c>
      <c r="L86" s="13" t="inlineStr">
        <is>
          <t>Mykonos-style Greek room, quieter early in the week.</t>
        </is>
      </c>
      <c r="M86" s="10" t="inlineStr">
        <is>
          <t>Not checked</t>
        </is>
      </c>
      <c r="N86" s="10" t="inlineStr">
        <is>
          <t>Target</t>
        </is>
      </c>
      <c r="S86" s="14" t="n"/>
      <c r="U86" s="14" t="n"/>
      <c r="X86" s="13" t="inlineStr"/>
      <c r="Y86" s="12" t="inlineStr">
        <is>
          <t>https://www.opentable.ca/restaurant/profile/1184893</t>
        </is>
      </c>
    </row>
    <row r="87">
      <c r="A87" s="10" t="n">
        <v>86</v>
      </c>
      <c r="B87" s="10" t="n">
        <v>1</v>
      </c>
      <c r="C87" s="11" t="inlineStr">
        <is>
          <t>Noyaa</t>
        </is>
      </c>
      <c r="D87" s="10" t="inlineStr">
        <is>
          <t>King West</t>
        </is>
      </c>
      <c r="E87" s="10" t="inlineStr">
        <is>
          <t>Restaurant</t>
        </is>
      </c>
      <c r="F87" s="10" t="inlineStr">
        <is>
          <t>Mediterranean-Asian</t>
        </is>
      </c>
      <c r="G87" s="10" t="inlineStr">
        <is>
          <t>486 Front St W (The Well)</t>
        </is>
      </c>
      <c r="H87" s="12" t="inlineStr">
        <is>
          <t>https://www.noyaatoronto.com/</t>
        </is>
      </c>
      <c r="I87" s="12" t="inlineStr">
        <is>
          <t>@noyaatoronto</t>
        </is>
      </c>
      <c r="J87" s="10" t="inlineStr">
        <is>
          <t>647-243-2707</t>
        </is>
      </c>
      <c r="K87" s="10" t="inlineStr"/>
      <c r="L87" s="13" t="inlineStr">
        <is>
          <t>Mediterranean-Asian at The Well, near the office crowd.</t>
        </is>
      </c>
      <c r="M87" s="10" t="inlineStr">
        <is>
          <t>Not checked</t>
        </is>
      </c>
      <c r="N87" s="10" t="inlineStr">
        <is>
          <t>Target</t>
        </is>
      </c>
      <c r="S87" s="14" t="n"/>
      <c r="U87" s="14" t="n"/>
      <c r="X87" s="13" t="inlineStr"/>
      <c r="Y87" s="12" t="inlineStr">
        <is>
          <t>https://www.noyaatoronto.com/</t>
        </is>
      </c>
    </row>
    <row r="88">
      <c r="A88" s="10" t="n">
        <v>87</v>
      </c>
      <c r="B88" s="10" t="n">
        <v>1</v>
      </c>
      <c r="C88" s="11" t="inlineStr">
        <is>
          <t>Oretta</t>
        </is>
      </c>
      <c r="D88" s="10" t="inlineStr">
        <is>
          <t>King West</t>
        </is>
      </c>
      <c r="E88" s="10" t="inlineStr">
        <is>
          <t>Restaurant</t>
        </is>
      </c>
      <c r="F88" s="10" t="inlineStr">
        <is>
          <t>Italian</t>
        </is>
      </c>
      <c r="G88" s="10" t="inlineStr">
        <is>
          <t>633 King St W</t>
        </is>
      </c>
      <c r="H88" s="12" t="inlineStr">
        <is>
          <t>https://www.oretta.to/</t>
        </is>
      </c>
      <c r="I88" s="12" t="inlineStr">
        <is>
          <t>@orettatoronto</t>
        </is>
      </c>
      <c r="J88" s="10" t="inlineStr">
        <is>
          <t>416-944-1932</t>
        </is>
      </c>
      <c r="K88" s="10" t="inlineStr"/>
      <c r="L88" s="13" t="inlineStr">
        <is>
          <t>Italian dining room with a strong brunch following.</t>
        </is>
      </c>
      <c r="M88" s="10" t="inlineStr">
        <is>
          <t>Not checked</t>
        </is>
      </c>
      <c r="N88" s="10" t="inlineStr">
        <is>
          <t>Target</t>
        </is>
      </c>
      <c r="S88" s="14" t="n"/>
      <c r="U88" s="14" t="n"/>
      <c r="X88" s="13" t="inlineStr"/>
      <c r="Y88" s="12" t="inlineStr">
        <is>
          <t>https://www.oretta.to/</t>
        </is>
      </c>
    </row>
    <row r="89">
      <c r="A89" s="10" t="n">
        <v>88</v>
      </c>
      <c r="B89" s="10" t="n">
        <v>1</v>
      </c>
      <c r="C89" s="11" t="inlineStr">
        <is>
          <t>Primadonna</t>
        </is>
      </c>
      <c r="D89" s="10" t="inlineStr">
        <is>
          <t>King West</t>
        </is>
      </c>
      <c r="E89" s="10" t="inlineStr">
        <is>
          <t>Restaurant</t>
        </is>
      </c>
      <c r="F89" s="10" t="inlineStr">
        <is>
          <t>Italian</t>
        </is>
      </c>
      <c r="G89" s="10" t="inlineStr">
        <is>
          <t>600 King St W, rooftop (Portland Square)</t>
        </is>
      </c>
      <c r="H89" s="12" t="inlineStr">
        <is>
          <t>https://primadonnatoronto.com/</t>
        </is>
      </c>
      <c r="I89" s="12" t="inlineStr">
        <is>
          <t>@primadonnato</t>
        </is>
      </c>
      <c r="J89" s="10" t="inlineStr">
        <is>
          <t>437-222-6140</t>
        </is>
      </c>
      <c r="K89" s="10" t="inlineStr"/>
      <c r="L89" s="13" t="inlineStr">
        <is>
          <t>Rooftop Italian that could use quieter weeknight covers.</t>
        </is>
      </c>
      <c r="M89" s="10" t="inlineStr">
        <is>
          <t>Not checked</t>
        </is>
      </c>
      <c r="N89" s="10" t="inlineStr">
        <is>
          <t>Target</t>
        </is>
      </c>
      <c r="S89" s="14" t="n"/>
      <c r="U89" s="14" t="n"/>
      <c r="X89" s="13" t="inlineStr"/>
      <c r="Y89" s="12" t="inlineStr">
        <is>
          <t>https://penthousequeen.com/blog/the-corner-where-king-west-is-arguing-with-itself</t>
        </is>
      </c>
    </row>
    <row r="90">
      <c r="A90" s="10" t="n">
        <v>89</v>
      </c>
      <c r="B90" s="10" t="n">
        <v>1</v>
      </c>
      <c r="C90" s="11" t="inlineStr">
        <is>
          <t>Public Gardens</t>
        </is>
      </c>
      <c r="D90" s="10" t="inlineStr">
        <is>
          <t>King West</t>
        </is>
      </c>
      <c r="E90" s="10" t="inlineStr">
        <is>
          <t>Restaurant</t>
        </is>
      </c>
      <c r="F90" s="10" t="inlineStr">
        <is>
          <t>Italian-American</t>
        </is>
      </c>
      <c r="G90" s="10" t="inlineStr">
        <is>
          <t>577 King St W</t>
        </is>
      </c>
      <c r="H90" s="12" t="inlineStr">
        <is>
          <t>https://www.public-gardens.com/</t>
        </is>
      </c>
      <c r="I90" s="12" t="inlineStr">
        <is>
          <t>@publicgardenstoronto</t>
        </is>
      </c>
      <c r="J90" s="10" t="inlineStr"/>
      <c r="K90" s="10" t="inlineStr"/>
      <c r="L90" s="13" t="inlineStr">
        <is>
          <t>Italian-American plates for friends; evenings Monday to Thursday likely have room.</t>
        </is>
      </c>
      <c r="M90" s="10" t="inlineStr">
        <is>
          <t>Not checked</t>
        </is>
      </c>
      <c r="N90" s="10" t="inlineStr">
        <is>
          <t>Target</t>
        </is>
      </c>
      <c r="S90" s="14" t="n"/>
      <c r="U90" s="14" t="n"/>
      <c r="X90" s="13" t="inlineStr"/>
      <c r="Y90" s="12" t="inlineStr">
        <is>
          <t>https://www.public-gardens.com/</t>
        </is>
      </c>
    </row>
    <row r="91">
      <c r="A91" s="10" t="n">
        <v>90</v>
      </c>
      <c r="B91" s="10" t="n">
        <v>1</v>
      </c>
      <c r="C91" s="11" t="inlineStr">
        <is>
          <t>Rodney's Oyster House</t>
        </is>
      </c>
      <c r="D91" s="10" t="inlineStr">
        <is>
          <t>King West</t>
        </is>
      </c>
      <c r="E91" s="10" t="inlineStr">
        <is>
          <t>Restaurant</t>
        </is>
      </c>
      <c r="F91" s="10" t="inlineStr">
        <is>
          <t>Seafood</t>
        </is>
      </c>
      <c r="G91" s="10" t="inlineStr">
        <is>
          <t>469 King St W</t>
        </is>
      </c>
      <c r="H91" s="12" t="inlineStr">
        <is>
          <t>https://rodneysoysterhouse.com/</t>
        </is>
      </c>
      <c r="I91" s="12" t="inlineStr">
        <is>
          <t>@rodneysoysterhouse</t>
        </is>
      </c>
      <c r="J91" s="10" t="inlineStr">
        <is>
          <t>416-363-8105</t>
        </is>
      </c>
      <c r="K91" s="10" t="inlineStr"/>
      <c r="L91" s="13" t="inlineStr">
        <is>
          <t>Classic seafood room, popular for business dinners.</t>
        </is>
      </c>
      <c r="M91" s="10" t="inlineStr">
        <is>
          <t>Not checked</t>
        </is>
      </c>
      <c r="N91" s="10" t="inlineStr">
        <is>
          <t>Target</t>
        </is>
      </c>
      <c r="S91" s="14" t="n"/>
      <c r="U91" s="14" t="n"/>
      <c r="X91" s="13" t="inlineStr"/>
      <c r="Y91" s="12" t="inlineStr">
        <is>
          <t>https://rodneysoysterhouse.com/</t>
        </is>
      </c>
    </row>
    <row r="92">
      <c r="A92" s="10" t="n">
        <v>91</v>
      </c>
      <c r="B92" s="10" t="n">
        <v>1</v>
      </c>
      <c r="C92" s="11" t="inlineStr">
        <is>
          <t>SARA (The Journey)</t>
        </is>
      </c>
      <c r="D92" s="10" t="inlineStr">
        <is>
          <t>King West</t>
        </is>
      </c>
      <c r="E92" s="10" t="inlineStr">
        <is>
          <t>Restaurant</t>
        </is>
      </c>
      <c r="F92" s="10" t="inlineStr">
        <is>
          <t>Tasting menu</t>
        </is>
      </c>
      <c r="G92" s="10" t="inlineStr">
        <is>
          <t>98 Portland St</t>
        </is>
      </c>
      <c r="H92" s="12" t="inlineStr">
        <is>
          <t>https://www.sara.restaurant/</t>
        </is>
      </c>
      <c r="I92" s="12" t="inlineStr">
        <is>
          <t>@sararestaurantto</t>
        </is>
      </c>
      <c r="J92" s="10" t="inlineStr">
        <is>
          <t>416-985-5721</t>
        </is>
      </c>
      <c r="K92" s="10" t="inlineStr"/>
      <c r="L92" s="13" t="inlineStr">
        <is>
          <t>Special-occasion tasting menu; a free upgrade offer may fit better than two-for-one.</t>
        </is>
      </c>
      <c r="M92" s="10" t="inlineStr">
        <is>
          <t>Not checked</t>
        </is>
      </c>
      <c r="N92" s="10" t="inlineStr">
        <is>
          <t>Target</t>
        </is>
      </c>
      <c r="S92" s="14" t="n"/>
      <c r="U92" s="14" t="n"/>
      <c r="X92" s="13" t="inlineStr"/>
      <c r="Y92" s="12" t="inlineStr">
        <is>
          <t>https://penthousequeen.com/blog/the-corner-where-king-west-is-arguing-with-itself</t>
        </is>
      </c>
    </row>
    <row r="93">
      <c r="A93" s="10" t="n">
        <v>92</v>
      </c>
      <c r="B93" s="10" t="n">
        <v>1</v>
      </c>
      <c r="C93" s="11" t="inlineStr">
        <is>
          <t>The Dorset</t>
        </is>
      </c>
      <c r="D93" s="10" t="inlineStr">
        <is>
          <t>King West</t>
        </is>
      </c>
      <c r="E93" s="10" t="inlineStr">
        <is>
          <t>Restaurant</t>
        </is>
      </c>
      <c r="F93" s="10" t="inlineStr">
        <is>
          <t>British</t>
        </is>
      </c>
      <c r="G93" s="10" t="inlineStr">
        <is>
          <t>457 Wellington St W</t>
        </is>
      </c>
      <c r="H93" s="12" t="inlineStr">
        <is>
          <t>https://www.thedorsetwellington.com/</t>
        </is>
      </c>
      <c r="I93" s="12" t="inlineStr">
        <is>
          <t>@thedorset.to</t>
        </is>
      </c>
      <c r="J93" s="10" t="inlineStr">
        <is>
          <t>647-288-4304</t>
        </is>
      </c>
      <c r="K93" s="10" t="inlineStr"/>
      <c r="L93" s="13" t="inlineStr">
        <is>
          <t>British coastal menu at The Well, near office towers for lunch.</t>
        </is>
      </c>
      <c r="M93" s="10" t="inlineStr">
        <is>
          <t>Not checked</t>
        </is>
      </c>
      <c r="N93" s="10" t="inlineStr">
        <is>
          <t>Target</t>
        </is>
      </c>
      <c r="S93" s="14" t="n"/>
      <c r="U93" s="14" t="n"/>
      <c r="X93" s="13" t="inlineStr"/>
      <c r="Y93" s="12" t="inlineStr">
        <is>
          <t>https://www.thedorsetwellington.com/</t>
        </is>
      </c>
    </row>
    <row r="94">
      <c r="A94" s="10" t="n">
        <v>93</v>
      </c>
      <c r="B94" s="10" t="n">
        <v>1</v>
      </c>
      <c r="C94" s="11" t="inlineStr">
        <is>
          <t>Vinny</t>
        </is>
      </c>
      <c r="D94" s="10" t="inlineStr">
        <is>
          <t>King West</t>
        </is>
      </c>
      <c r="E94" s="10" t="inlineStr">
        <is>
          <t>Restaurant</t>
        </is>
      </c>
      <c r="F94" s="10" t="inlineStr">
        <is>
          <t>Eclectic</t>
        </is>
      </c>
      <c r="G94" s="10" t="inlineStr">
        <is>
          <t>478 King St W</t>
        </is>
      </c>
      <c r="H94" s="12" t="inlineStr">
        <is>
          <t>https://vinnytoronto.com/</t>
        </is>
      </c>
      <c r="I94" s="12" t="inlineStr">
        <is>
          <t>@vinny.toronto</t>
        </is>
      </c>
      <c r="J94" s="10" t="inlineStr">
        <is>
          <t>647-660-0999</t>
        </is>
      </c>
      <c r="K94" s="10" t="inlineStr"/>
      <c r="L94" s="13" t="inlineStr">
        <is>
          <t>Restaurant with a vinyl bar, appeals to the young professional crowd.</t>
        </is>
      </c>
      <c r="M94" s="10" t="inlineStr">
        <is>
          <t>Not checked</t>
        </is>
      </c>
      <c r="N94" s="10" t="inlineStr">
        <is>
          <t>Target</t>
        </is>
      </c>
      <c r="S94" s="14" t="n"/>
      <c r="U94" s="14" t="n"/>
      <c r="X94" s="13" t="inlineStr"/>
      <c r="Y94" s="12" t="inlineStr">
        <is>
          <t>https://www.blogto.com/eat_drink/2025/07/vinny-vinyl-bar-toronto</t>
        </is>
      </c>
    </row>
    <row r="95">
      <c r="A95" s="10" t="n">
        <v>94</v>
      </c>
      <c r="B95" s="10" t="n">
        <v>1</v>
      </c>
      <c r="C95" s="11" t="inlineStr">
        <is>
          <t>L'Avenue Toronto</t>
        </is>
      </c>
      <c r="D95" s="10" t="inlineStr">
        <is>
          <t>King West</t>
        </is>
      </c>
      <c r="E95" s="10" t="inlineStr">
        <is>
          <t>Brunch</t>
        </is>
      </c>
      <c r="F95" s="10" t="inlineStr">
        <is>
          <t>Brunch</t>
        </is>
      </c>
      <c r="G95" s="10" t="inlineStr">
        <is>
          <t>433 Wellington St W</t>
        </is>
      </c>
      <c r="H95" s="12" t="inlineStr">
        <is>
          <t>https://restolavenue.ca/</t>
        </is>
      </c>
      <c r="I95" s="12" t="inlineStr">
        <is>
          <t>@lavenueresto</t>
        </is>
      </c>
      <c r="J95" s="10" t="inlineStr">
        <is>
          <t>416-722-8678</t>
        </is>
      </c>
      <c r="K95" s="10" t="inlineStr"/>
      <c r="L95" s="13" t="inlineStr">
        <is>
          <t>Brunch spot at The Well, good for weekday brunch traffic.</t>
        </is>
      </c>
      <c r="M95" s="10" t="inlineStr">
        <is>
          <t>Not checked</t>
        </is>
      </c>
      <c r="N95" s="10" t="inlineStr">
        <is>
          <t>Target</t>
        </is>
      </c>
      <c r="S95" s="14" t="n"/>
      <c r="U95" s="14" t="n"/>
      <c r="X95" s="13" t="inlineStr"/>
      <c r="Y95" s="12" t="inlineStr">
        <is>
          <t>https://restolavenue.ca/accueil</t>
        </is>
      </c>
    </row>
    <row r="96">
      <c r="A96" s="10" t="n">
        <v>95</v>
      </c>
      <c r="B96" s="10" t="n">
        <v>1</v>
      </c>
      <c r="C96" s="11" t="inlineStr">
        <is>
          <t>Dark Horse Coffee</t>
        </is>
      </c>
      <c r="D96" s="10" t="inlineStr">
        <is>
          <t>King West</t>
        </is>
      </c>
      <c r="E96" s="10" t="inlineStr">
        <is>
          <t>Café</t>
        </is>
      </c>
      <c r="F96" s="10" t="inlineStr">
        <is>
          <t>Coffee</t>
        </is>
      </c>
      <c r="G96" s="10" t="inlineStr">
        <is>
          <t>88 Bathurst St (West House)</t>
        </is>
      </c>
      <c r="H96" s="10" t="inlineStr"/>
      <c r="I96" s="10" t="inlineStr"/>
      <c r="J96" s="10" t="inlineStr"/>
      <c r="K96" s="10" t="inlineStr"/>
      <c r="L96" s="13" t="inlineStr">
        <is>
          <t>Local coffee café on the west edge of King West.</t>
        </is>
      </c>
      <c r="M96" s="10" t="inlineStr">
        <is>
          <t>Not checked</t>
        </is>
      </c>
      <c r="N96" s="10" t="inlineStr">
        <is>
          <t>Target</t>
        </is>
      </c>
      <c r="S96" s="14" t="n"/>
      <c r="U96" s="14" t="n"/>
      <c r="X96" s="13" t="inlineStr"/>
      <c r="Y96" s="12" t="inlineStr">
        <is>
          <t>https://penthousequeen.com/blog/the-corner-where-king-west-is-arguing-with-itself</t>
        </is>
      </c>
    </row>
    <row r="97">
      <c r="A97" s="10" t="n">
        <v>96</v>
      </c>
      <c r="B97" s="10" t="n">
        <v>1</v>
      </c>
      <c r="C97" s="11" t="inlineStr">
        <is>
          <t>De Mello at The Well</t>
        </is>
      </c>
      <c r="D97" s="10" t="inlineStr">
        <is>
          <t>King West</t>
        </is>
      </c>
      <c r="E97" s="10" t="inlineStr">
        <is>
          <t>Café</t>
        </is>
      </c>
      <c r="F97" s="10" t="inlineStr">
        <is>
          <t>Coffee</t>
        </is>
      </c>
      <c r="G97" s="10" t="inlineStr">
        <is>
          <t>8 Spadina Ave (The Well office lobby)</t>
        </is>
      </c>
      <c r="H97" s="12" t="inlineStr">
        <is>
          <t>https://hellodemello.com/</t>
        </is>
      </c>
      <c r="I97" s="12" t="inlineStr">
        <is>
          <t>@demellocoffee</t>
        </is>
      </c>
      <c r="J97" s="10" t="inlineStr">
        <is>
          <t>416-556-5393</t>
        </is>
      </c>
      <c r="K97" s="10" t="inlineStr"/>
      <c r="L97" s="13" t="inlineStr">
        <is>
          <t>Busy office-lobby café, a daily habit for The Well workers.</t>
        </is>
      </c>
      <c r="M97" s="10" t="inlineStr">
        <is>
          <t>Not checked</t>
        </is>
      </c>
      <c r="N97" s="10" t="inlineStr">
        <is>
          <t>Target</t>
        </is>
      </c>
      <c r="S97" s="14" t="n"/>
      <c r="U97" s="14" t="n"/>
      <c r="X97" s="13" t="inlineStr"/>
      <c r="Y97" s="12" t="inlineStr">
        <is>
          <t>https://thewelltoronto.com/directory/de-mello-coffee</t>
        </is>
      </c>
    </row>
    <row r="98">
      <c r="A98" s="10" t="n">
        <v>97</v>
      </c>
      <c r="B98" s="10" t="n">
        <v>1</v>
      </c>
      <c r="C98" s="11" t="inlineStr">
        <is>
          <t>Nonni Cafe &amp; Bakery</t>
        </is>
      </c>
      <c r="D98" s="10" t="inlineStr">
        <is>
          <t>King West</t>
        </is>
      </c>
      <c r="E98" s="10" t="inlineStr">
        <is>
          <t>Café</t>
        </is>
      </c>
      <c r="F98" s="10" t="inlineStr">
        <is>
          <t>Italian café</t>
        </is>
      </c>
      <c r="G98" s="10" t="inlineStr">
        <is>
          <t>430 King St W</t>
        </is>
      </c>
      <c r="H98" s="12" t="inlineStr">
        <is>
          <t>https://nonnicafe.ca/</t>
        </is>
      </c>
      <c r="I98" s="12" t="inlineStr">
        <is>
          <t>@nonni.to</t>
        </is>
      </c>
      <c r="J98" s="10" t="inlineStr">
        <is>
          <t>416-622-8069</t>
        </is>
      </c>
      <c r="K98" s="10" t="inlineStr"/>
      <c r="L98" s="13" t="inlineStr">
        <is>
          <t>All-day café with seating, good for breakfast and lunch offers.</t>
        </is>
      </c>
      <c r="M98" s="10" t="inlineStr">
        <is>
          <t>Not checked</t>
        </is>
      </c>
      <c r="N98" s="10" t="inlineStr">
        <is>
          <t>Target</t>
        </is>
      </c>
      <c r="S98" s="14" t="n"/>
      <c r="U98" s="14" t="n"/>
      <c r="X98" s="13" t="inlineStr"/>
      <c r="Y98" s="12" t="inlineStr">
        <is>
          <t>https://nonnicafe.ca/</t>
        </is>
      </c>
    </row>
    <row r="99">
      <c r="A99" s="10" t="n">
        <v>98</v>
      </c>
      <c r="B99" s="10" t="n">
        <v>1</v>
      </c>
      <c r="C99" s="11" t="inlineStr">
        <is>
          <t>AIRE Ancient Baths Toronto</t>
        </is>
      </c>
      <c r="D99" s="10" t="inlineStr">
        <is>
          <t>King West</t>
        </is>
      </c>
      <c r="E99" s="10" t="inlineStr">
        <is>
          <t>Spa</t>
        </is>
      </c>
      <c r="F99" s="10" t="inlineStr">
        <is>
          <t>Thermal bathhouse</t>
        </is>
      </c>
      <c r="G99" s="10" t="inlineStr">
        <is>
          <t>510A Front St W</t>
        </is>
      </c>
      <c r="H99" s="10" t="inlineStr"/>
      <c r="I99" s="10" t="inlineStr"/>
      <c r="J99" s="10" t="inlineStr"/>
      <c r="K99" s="10" t="inlineStr"/>
      <c r="L99" s="13" t="inlineStr">
        <is>
          <t>Free massage upgrade with a bath experience, off-peak days.</t>
        </is>
      </c>
      <c r="M99" s="10" t="inlineStr">
        <is>
          <t>Not checked</t>
        </is>
      </c>
      <c r="N99" s="10" t="inlineStr">
        <is>
          <t>Target</t>
        </is>
      </c>
      <c r="S99" s="14" t="n"/>
      <c r="U99" s="14" t="n"/>
      <c r="X99" s="13" t="inlineStr"/>
      <c r="Y99" s="12" t="inlineStr">
        <is>
          <t>https://curiocity.com/aire-ancient-baths-toronto-now-open/</t>
        </is>
      </c>
    </row>
    <row r="100">
      <c r="A100" s="10" t="n">
        <v>99</v>
      </c>
      <c r="B100" s="10" t="n">
        <v>1</v>
      </c>
      <c r="C100" s="11" t="inlineStr">
        <is>
          <t>Hammam Spa by Céla</t>
        </is>
      </c>
      <c r="D100" s="10" t="inlineStr">
        <is>
          <t>King West</t>
        </is>
      </c>
      <c r="E100" s="10" t="inlineStr">
        <is>
          <t>Spa</t>
        </is>
      </c>
      <c r="F100" s="10" t="inlineStr">
        <is>
          <t>Hammam and day spa</t>
        </is>
      </c>
      <c r="G100" s="10" t="inlineStr">
        <is>
          <t>602 King St W</t>
        </is>
      </c>
      <c r="H100" s="12" t="inlineStr">
        <is>
          <t>https://hammamspa.ca/</t>
        </is>
      </c>
      <c r="I100" s="12" t="inlineStr">
        <is>
          <t>@hammamspa</t>
        </is>
      </c>
      <c r="J100" s="10" t="inlineStr"/>
      <c r="K100" s="10" t="inlineStr"/>
      <c r="L100" s="13" t="inlineStr">
        <is>
          <t>Free add-on such as a scrub upgrade with a hammam ritual.</t>
        </is>
      </c>
      <c r="M100" s="10" t="inlineStr">
        <is>
          <t>Not checked</t>
        </is>
      </c>
      <c r="N100" s="10" t="inlineStr">
        <is>
          <t>Target</t>
        </is>
      </c>
      <c r="S100" s="14" t="n"/>
      <c r="U100" s="14" t="n"/>
      <c r="X100" s="13" t="inlineStr"/>
      <c r="Y100" s="12" t="inlineStr">
        <is>
          <t>https://curiocity.com/best-spas-toronto-city-escape/</t>
        </is>
      </c>
    </row>
    <row r="101">
      <c r="A101" s="10" t="n">
        <v>100</v>
      </c>
      <c r="B101" s="10" t="n">
        <v>1</v>
      </c>
      <c r="C101" s="11" t="inlineStr">
        <is>
          <t>Othership Adelaide</t>
        </is>
      </c>
      <c r="D101" s="10" t="inlineStr">
        <is>
          <t>King West</t>
        </is>
      </c>
      <c r="E101" s="10" t="inlineStr">
        <is>
          <t>Spa</t>
        </is>
      </c>
      <c r="F101" s="10" t="inlineStr">
        <is>
          <t>Bathhouse (sauna and ice bath)</t>
        </is>
      </c>
      <c r="G101" s="10" t="inlineStr">
        <is>
          <t>425 Adelaide St W</t>
        </is>
      </c>
      <c r="H101" s="12" t="inlineStr">
        <is>
          <t>https://www.othership.us/adelaide</t>
        </is>
      </c>
      <c r="I101" s="12" t="inlineStr">
        <is>
          <t>@othership</t>
        </is>
      </c>
      <c r="J101" s="10" t="inlineStr"/>
      <c r="K101" s="10" t="inlineStr"/>
      <c r="L101" s="13" t="inlineStr">
        <is>
          <t>Bring a friend to a guided sauna session free, off-peak.</t>
        </is>
      </c>
      <c r="M101" s="10" t="inlineStr">
        <is>
          <t>Not checked</t>
        </is>
      </c>
      <c r="N101" s="10" t="inlineStr">
        <is>
          <t>Target</t>
        </is>
      </c>
      <c r="S101" s="14" t="n"/>
      <c r="U101" s="14" t="n"/>
      <c r="X101" s="13" t="inlineStr"/>
      <c r="Y101" s="12" t="inlineStr">
        <is>
          <t>https://www.othership.us/adelaide</t>
        </is>
      </c>
    </row>
    <row r="102">
      <c r="A102" s="10" t="n">
        <v>101</v>
      </c>
      <c r="B102" s="10" t="n">
        <v>1</v>
      </c>
      <c r="C102" s="11" t="inlineStr">
        <is>
          <t>Pure + Simple (King West)</t>
        </is>
      </c>
      <c r="D102" s="10" t="inlineStr">
        <is>
          <t>King West</t>
        </is>
      </c>
      <c r="E102" s="10" t="inlineStr">
        <is>
          <t>Spa</t>
        </is>
      </c>
      <c r="F102" s="10" t="inlineStr">
        <is>
          <t>Holistic day spa</t>
        </is>
      </c>
      <c r="G102" s="10" t="inlineStr">
        <is>
          <t>725 King St W</t>
        </is>
      </c>
      <c r="H102" s="12" t="inlineStr">
        <is>
          <t>https://pureandsimple.ca/</t>
        </is>
      </c>
      <c r="I102" s="12" t="inlineStr">
        <is>
          <t>@pureandsimpleca</t>
        </is>
      </c>
      <c r="J102" s="10" t="inlineStr"/>
      <c r="K102" s="10" t="inlineStr"/>
      <c r="L102" s="13" t="inlineStr">
        <is>
          <t>Free facial add-on with a full facial, quieter weekdays.</t>
        </is>
      </c>
      <c r="M102" s="10" t="inlineStr">
        <is>
          <t>Not checked</t>
        </is>
      </c>
      <c r="N102" s="10" t="inlineStr">
        <is>
          <t>Target</t>
        </is>
      </c>
      <c r="S102" s="14" t="n"/>
      <c r="U102" s="14" t="n"/>
      <c r="X102" s="13" t="inlineStr"/>
      <c r="Y102" s="12" t="inlineStr">
        <is>
          <t>https://pureandsimple.ca/pages/locations</t>
        </is>
      </c>
    </row>
    <row r="103">
      <c r="A103" s="10" t="n">
        <v>102</v>
      </c>
      <c r="B103" s="10" t="n">
        <v>1</v>
      </c>
      <c r="C103" s="11" t="inlineStr">
        <is>
          <t>Trove</t>
        </is>
      </c>
      <c r="D103" s="10" t="inlineStr">
        <is>
          <t>King West</t>
        </is>
      </c>
      <c r="E103" s="10" t="inlineStr">
        <is>
          <t>Spa</t>
        </is>
      </c>
      <c r="F103" s="10" t="inlineStr">
        <is>
          <t>Wellness centre and spa</t>
        </is>
      </c>
      <c r="G103" s="10" t="inlineStr">
        <is>
          <t>426 Adelaide St W</t>
        </is>
      </c>
      <c r="H103" s="12" t="inlineStr">
        <is>
          <t>https://trovewellbeing.com/</t>
        </is>
      </c>
      <c r="I103" s="10" t="inlineStr"/>
      <c r="J103" s="10" t="inlineStr"/>
      <c r="K103" s="10" t="inlineStr"/>
      <c r="L103" s="13" t="inlineStr">
        <is>
          <t>Free red light or add-on with a spa treatment.</t>
        </is>
      </c>
      <c r="M103" s="10" t="inlineStr">
        <is>
          <t>Not checked</t>
        </is>
      </c>
      <c r="N103" s="10" t="inlineStr">
        <is>
          <t>Target</t>
        </is>
      </c>
      <c r="S103" s="14" t="n"/>
      <c r="U103" s="14" t="n"/>
      <c r="X103" s="13" t="inlineStr"/>
      <c r="Y103" s="12" t="inlineStr">
        <is>
          <t>https://curiocity.com/toronto-wellness-studios-ontario/</t>
        </is>
      </c>
    </row>
    <row r="104">
      <c r="A104" s="10" t="n">
        <v>103</v>
      </c>
      <c r="B104" s="10" t="n">
        <v>1</v>
      </c>
      <c r="C104" s="11" t="inlineStr">
        <is>
          <t>Altea Active Liberty Village</t>
        </is>
      </c>
      <c r="D104" s="10" t="inlineStr">
        <is>
          <t>King West</t>
        </is>
      </c>
      <c r="E104" s="10" t="inlineStr">
        <is>
          <t>Studio</t>
        </is>
      </c>
      <c r="F104" s="10" t="inlineStr">
        <is>
          <t>Wellness club with reformer pilates</t>
        </is>
      </c>
      <c r="G104" s="10" t="inlineStr">
        <is>
          <t>25 Ordnance St</t>
        </is>
      </c>
      <c r="H104" s="12" t="inlineStr">
        <is>
          <t>https://alteaactive.com/clubs/liberty-village</t>
        </is>
      </c>
      <c r="I104" s="10" t="inlineStr"/>
      <c r="J104" s="10" t="inlineStr"/>
      <c r="K104" s="10" t="inlineStr"/>
      <c r="L104" s="13" t="inlineStr">
        <is>
          <t>Free guest pass for a friend to a class.</t>
        </is>
      </c>
      <c r="M104" s="10" t="inlineStr">
        <is>
          <t>Not checked</t>
        </is>
      </c>
      <c r="N104" s="10" t="inlineStr">
        <is>
          <t>Target</t>
        </is>
      </c>
      <c r="S104" s="14" t="n"/>
      <c r="U104" s="14" t="n"/>
      <c r="X104" s="13" t="inlineStr"/>
      <c r="Y104" s="12" t="inlineStr">
        <is>
          <t>https://alteaactive.com/clubs/liberty-village</t>
        </is>
      </c>
    </row>
    <row r="105">
      <c r="A105" s="10" t="n">
        <v>104</v>
      </c>
      <c r="B105" s="10" t="n">
        <v>1</v>
      </c>
      <c r="C105" s="11" t="inlineStr">
        <is>
          <t>Core Studio</t>
        </is>
      </c>
      <c r="D105" s="10" t="inlineStr">
        <is>
          <t>King West</t>
        </is>
      </c>
      <c r="E105" s="10" t="inlineStr">
        <is>
          <t>Studio</t>
        </is>
      </c>
      <c r="F105" s="10" t="inlineStr">
        <is>
          <t>Pilates (reformer and mat)</t>
        </is>
      </c>
      <c r="G105" s="10" t="inlineStr">
        <is>
          <t>56 Stewart St; 80 Mitchell Ave</t>
        </is>
      </c>
      <c r="H105" s="12" t="inlineStr">
        <is>
          <t>https://www.corestudio.ca/</t>
        </is>
      </c>
      <c r="I105" s="12" t="inlineStr">
        <is>
          <t>@corepilatesacademy</t>
        </is>
      </c>
      <c r="J105" s="10" t="inlineStr"/>
      <c r="K105" s="10" t="inlineStr"/>
      <c r="L105" s="13" t="inlineStr">
        <is>
          <t>Bring a friend to a group class free.</t>
        </is>
      </c>
      <c r="M105" s="10" t="inlineStr">
        <is>
          <t>Not checked</t>
        </is>
      </c>
      <c r="N105" s="10" t="inlineStr">
        <is>
          <t>Target</t>
        </is>
      </c>
      <c r="S105" s="14" t="n"/>
      <c r="U105" s="14" t="n"/>
      <c r="X105" s="13" t="inlineStr"/>
      <c r="Y105" s="12" t="inlineStr">
        <is>
          <t>https://www.corestudio.ca/</t>
        </is>
      </c>
    </row>
    <row r="106">
      <c r="A106" s="10" t="n">
        <v>105</v>
      </c>
      <c r="B106" s="10" t="n">
        <v>1</v>
      </c>
      <c r="C106" s="11" t="inlineStr">
        <is>
          <t>Kardia Athletica</t>
        </is>
      </c>
      <c r="D106" s="10" t="inlineStr">
        <is>
          <t>King West</t>
        </is>
      </c>
      <c r="E106" s="10" t="inlineStr">
        <is>
          <t>Studio</t>
        </is>
      </c>
      <c r="F106" s="10" t="inlineStr">
        <is>
          <t>Indoor cycling and strength</t>
        </is>
      </c>
      <c r="G106" s="10" t="inlineStr">
        <is>
          <t>10 Lower Spadina Ave</t>
        </is>
      </c>
      <c r="H106" s="12" t="inlineStr">
        <is>
          <t>https://kardiaathletica.com/</t>
        </is>
      </c>
      <c r="I106" s="12" t="inlineStr">
        <is>
          <t>@kardiaathletica</t>
        </is>
      </c>
      <c r="J106" s="10" t="inlineStr"/>
      <c r="K106" s="10" t="inlineStr"/>
      <c r="L106" s="13" t="inlineStr">
        <is>
          <t>Bring a friend to a ride free.</t>
        </is>
      </c>
      <c r="M106" s="10" t="inlineStr">
        <is>
          <t>Not checked</t>
        </is>
      </c>
      <c r="N106" s="10" t="inlineStr">
        <is>
          <t>Target</t>
        </is>
      </c>
      <c r="S106" s="14" t="n"/>
      <c r="U106" s="14" t="n"/>
      <c r="X106" s="13" t="inlineStr"/>
      <c r="Y106" s="12" t="inlineStr">
        <is>
          <t>https://kardiaathletica.com/</t>
        </is>
      </c>
    </row>
    <row r="107">
      <c r="A107" s="10" t="n">
        <v>106</v>
      </c>
      <c r="B107" s="10" t="n">
        <v>1</v>
      </c>
      <c r="C107" s="11" t="inlineStr">
        <is>
          <t>LSD°R Studios</t>
        </is>
      </c>
      <c r="D107" s="10" t="inlineStr">
        <is>
          <t>King West</t>
        </is>
      </c>
      <c r="E107" s="10" t="inlineStr">
        <is>
          <t>Studio</t>
        </is>
      </c>
      <c r="F107" s="10" t="inlineStr">
        <is>
          <t>Reformer pilates</t>
        </is>
      </c>
      <c r="G107" s="10" t="inlineStr">
        <is>
          <t>543 Richmond St W</t>
        </is>
      </c>
      <c r="H107" s="12" t="inlineStr">
        <is>
          <t>https://lsdrstudios.com/</t>
        </is>
      </c>
      <c r="I107" s="12" t="inlineStr">
        <is>
          <t>@lsdrstudios</t>
        </is>
      </c>
      <c r="J107" s="10" t="inlineStr"/>
      <c r="K107" s="10" t="inlineStr"/>
      <c r="L107" s="13" t="inlineStr">
        <is>
          <t>Bring a friend to a reformer class free.</t>
        </is>
      </c>
      <c r="M107" s="10" t="inlineStr">
        <is>
          <t>Not checked</t>
        </is>
      </c>
      <c r="N107" s="10" t="inlineStr">
        <is>
          <t>Target</t>
        </is>
      </c>
      <c r="S107" s="14" t="n"/>
      <c r="U107" s="14" t="n"/>
      <c r="X107" s="13" t="inlineStr"/>
      <c r="Y107" s="12" t="inlineStr">
        <is>
          <t>https://curiocity.com/lsdr-new-fitness-studio-toronto/</t>
        </is>
      </c>
    </row>
    <row r="108">
      <c r="A108" s="10" t="n">
        <v>107</v>
      </c>
      <c r="B108" s="10" t="n">
        <v>1</v>
      </c>
      <c r="C108" s="11" t="inlineStr">
        <is>
          <t>Pure Yoga</t>
        </is>
      </c>
      <c r="D108" s="10" t="inlineStr">
        <is>
          <t>King West</t>
        </is>
      </c>
      <c r="E108" s="10" t="inlineStr">
        <is>
          <t>Studio</t>
        </is>
      </c>
      <c r="F108" s="10" t="inlineStr">
        <is>
          <t>Hot yoga</t>
        </is>
      </c>
      <c r="G108" s="10" t="inlineStr">
        <is>
          <t>47 Fraser Ave</t>
        </is>
      </c>
      <c r="H108" s="12" t="inlineStr">
        <is>
          <t>https://www.pureyogatoronto.com/</t>
        </is>
      </c>
      <c r="I108" s="10" t="inlineStr"/>
      <c r="J108" s="10" t="inlineStr"/>
      <c r="K108" s="10" t="inlineStr"/>
      <c r="L108" s="13" t="inlineStr">
        <is>
          <t>Bring a friend to a hot yoga class free.</t>
        </is>
      </c>
      <c r="M108" s="10" t="inlineStr">
        <is>
          <t>Not checked</t>
        </is>
      </c>
      <c r="N108" s="10" t="inlineStr">
        <is>
          <t>Target</t>
        </is>
      </c>
      <c r="S108" s="14" t="n"/>
      <c r="U108" s="14" t="n"/>
      <c r="X108" s="13" t="inlineStr"/>
      <c r="Y108" s="12" t="inlineStr">
        <is>
          <t>https://www.pureyogatoronto.com/</t>
        </is>
      </c>
    </row>
    <row r="109">
      <c r="A109" s="10" t="n">
        <v>108</v>
      </c>
      <c r="B109" s="10" t="n">
        <v>1</v>
      </c>
      <c r="C109" s="11" t="inlineStr">
        <is>
          <t>Solis Movement (King West)</t>
        </is>
      </c>
      <c r="D109" s="10" t="inlineStr">
        <is>
          <t>King West</t>
        </is>
      </c>
      <c r="E109" s="10" t="inlineStr">
        <is>
          <t>Studio</t>
        </is>
      </c>
      <c r="F109" s="10" t="inlineStr">
        <is>
          <t>Reformer pilates</t>
        </is>
      </c>
      <c r="G109" s="10" t="inlineStr">
        <is>
          <t>548 King St W, 3rd floor</t>
        </is>
      </c>
      <c r="H109" s="12" t="inlineStr">
        <is>
          <t>https://www.solismovement.ca/</t>
        </is>
      </c>
      <c r="I109" s="12" t="inlineStr">
        <is>
          <t>@solis.movement</t>
        </is>
      </c>
      <c r="J109" s="10" t="inlineStr"/>
      <c r="K109" s="10" t="inlineStr"/>
      <c r="L109" s="13" t="inlineStr">
        <is>
          <t>Bring a friend to a reformer class free.</t>
        </is>
      </c>
      <c r="M109" s="10" t="inlineStr">
        <is>
          <t>Not checked</t>
        </is>
      </c>
      <c r="N109" s="10" t="inlineStr">
        <is>
          <t>Target</t>
        </is>
      </c>
      <c r="S109" s="14" t="n"/>
      <c r="U109" s="14" t="n"/>
      <c r="X109" s="13" t="inlineStr"/>
      <c r="Y109" s="12" t="inlineStr">
        <is>
          <t>https://www.solismovement.ca/</t>
        </is>
      </c>
    </row>
    <row r="110">
      <c r="A110" s="10" t="n">
        <v>109</v>
      </c>
      <c r="B110" s="10" t="n">
        <v>1</v>
      </c>
      <c r="C110" s="11" t="inlineStr">
        <is>
          <t>Spokehaus</t>
        </is>
      </c>
      <c r="D110" s="10" t="inlineStr">
        <is>
          <t>King West</t>
        </is>
      </c>
      <c r="E110" s="10" t="inlineStr">
        <is>
          <t>Studio</t>
        </is>
      </c>
      <c r="F110" s="10" t="inlineStr">
        <is>
          <t>Indoor cycling</t>
        </is>
      </c>
      <c r="G110" s="10" t="inlineStr">
        <is>
          <t>70 Dan Leckie Way</t>
        </is>
      </c>
      <c r="H110" s="12" t="inlineStr">
        <is>
          <t>https://spokehaus.ca/</t>
        </is>
      </c>
      <c r="I110" s="12" t="inlineStr">
        <is>
          <t>@spokehaus</t>
        </is>
      </c>
      <c r="J110" s="10" t="inlineStr"/>
      <c r="K110" s="10" t="inlineStr"/>
      <c r="L110" s="13" t="inlineStr">
        <is>
          <t>Bring a friend to a ride free.</t>
        </is>
      </c>
      <c r="M110" s="10" t="inlineStr">
        <is>
          <t>Not checked</t>
        </is>
      </c>
      <c r="N110" s="10" t="inlineStr">
        <is>
          <t>Target</t>
        </is>
      </c>
      <c r="S110" s="14" t="n"/>
      <c r="U110" s="14" t="n"/>
      <c r="X110" s="13" t="inlineStr"/>
      <c r="Y110" s="12" t="inlineStr">
        <is>
          <t>https://spokehaus.ca/</t>
        </is>
      </c>
    </row>
    <row r="111">
      <c r="A111" s="10" t="n">
        <v>110</v>
      </c>
      <c r="B111" s="10" t="n">
        <v>1</v>
      </c>
      <c r="C111" s="11" t="inlineStr">
        <is>
          <t>Sweat and Tonic (The Well)</t>
        </is>
      </c>
      <c r="D111" s="10" t="inlineStr">
        <is>
          <t>King West</t>
        </is>
      </c>
      <c r="E111" s="10" t="inlineStr">
        <is>
          <t>Studio</t>
        </is>
      </c>
      <c r="F111" s="10" t="inlineStr">
        <is>
          <t>Multi-format fitness (yoga, ride, strength)</t>
        </is>
      </c>
      <c r="G111" s="10" t="inlineStr">
        <is>
          <t>486 Front St W</t>
        </is>
      </c>
      <c r="H111" s="12" t="inlineStr">
        <is>
          <t>https://sweatandtonic.com/</t>
        </is>
      </c>
      <c r="I111" s="12" t="inlineStr">
        <is>
          <t>@sweatandtonic</t>
        </is>
      </c>
      <c r="J111" s="10" t="inlineStr"/>
      <c r="K111" s="10" t="inlineStr"/>
      <c r="L111" s="13" t="inlineStr">
        <is>
          <t>Bring a friend to a class free.</t>
        </is>
      </c>
      <c r="M111" s="10" t="inlineStr">
        <is>
          <t>Not checked</t>
        </is>
      </c>
      <c r="N111" s="10" t="inlineStr">
        <is>
          <t>Target</t>
        </is>
      </c>
      <c r="S111" s="14" t="n"/>
      <c r="U111" s="14" t="n"/>
      <c r="X111" s="13" t="inlineStr"/>
      <c r="Y111" s="12" t="inlineStr">
        <is>
          <t>https://sweatandtonic.com/</t>
        </is>
      </c>
    </row>
    <row r="112">
      <c r="A112" s="10" t="n">
        <v>111</v>
      </c>
      <c r="B112" s="10" t="n">
        <v>1</v>
      </c>
      <c r="C112" s="11" t="inlineStr">
        <is>
          <t>Alder at Ace Hotel Toronto</t>
        </is>
      </c>
      <c r="D112" s="10" t="inlineStr">
        <is>
          <t>King West</t>
        </is>
      </c>
      <c r="E112" s="10" t="inlineStr">
        <is>
          <t>Hotel restaurant or spa</t>
        </is>
      </c>
      <c r="F112" s="10" t="inlineStr">
        <is>
          <t>Hotel restaurant</t>
        </is>
      </c>
      <c r="G112" s="10" t="inlineStr">
        <is>
          <t>51 Camden St</t>
        </is>
      </c>
      <c r="H112" s="12" t="inlineStr">
        <is>
          <t>https://acehotel.com/toronto/</t>
        </is>
      </c>
      <c r="I112" s="12" t="inlineStr">
        <is>
          <t>@acehoteltoronto</t>
        </is>
      </c>
      <c r="J112" s="10" t="inlineStr"/>
      <c r="K112" s="10" t="inlineStr"/>
      <c r="L112" s="13" t="inlineStr">
        <is>
          <t>Second main on us at weekday lunch or brunch.</t>
        </is>
      </c>
      <c r="M112" s="10" t="inlineStr">
        <is>
          <t>Not checked</t>
        </is>
      </c>
      <c r="N112" s="10" t="inlineStr">
        <is>
          <t>Target</t>
        </is>
      </c>
      <c r="S112" s="14" t="n"/>
      <c r="U112" s="14" t="n"/>
      <c r="X112" s="13" t="inlineStr"/>
      <c r="Y112" s="12" t="inlineStr">
        <is>
          <t>https://acehotel.com/toronto/</t>
        </is>
      </c>
    </row>
    <row r="113">
      <c r="A113" s="10" t="n">
        <v>112</v>
      </c>
      <c r="B113" s="10" t="n">
        <v>1</v>
      </c>
      <c r="C113" s="11" t="inlineStr">
        <is>
          <t>Guerlain Spa at Hotel X</t>
        </is>
      </c>
      <c r="D113" s="10" t="inlineStr">
        <is>
          <t>King West</t>
        </is>
      </c>
      <c r="E113" s="10" t="inlineStr">
        <is>
          <t>Hotel restaurant or spa</t>
        </is>
      </c>
      <c r="F113" s="10" t="inlineStr">
        <is>
          <t>Hotel spa</t>
        </is>
      </c>
      <c r="G113" s="10" t="inlineStr">
        <is>
          <t>111 Princes' Blvd</t>
        </is>
      </c>
      <c r="H113" s="12" t="inlineStr">
        <is>
          <t>https://hotelxtoronto.com/</t>
        </is>
      </c>
      <c r="I113" s="12" t="inlineStr">
        <is>
          <t>@hotelxtoronto</t>
        </is>
      </c>
      <c r="J113" s="10" t="inlineStr"/>
      <c r="K113" s="10" t="inlineStr"/>
      <c r="L113" s="13" t="inlineStr">
        <is>
          <t>Free upgrade or add-on with a full treatment.</t>
        </is>
      </c>
      <c r="M113" s="10" t="inlineStr">
        <is>
          <t>Not checked</t>
        </is>
      </c>
      <c r="N113" s="10" t="inlineStr">
        <is>
          <t>Target</t>
        </is>
      </c>
      <c r="S113" s="14" t="n"/>
      <c r="U113" s="14" t="n"/>
      <c r="X113" s="13" t="inlineStr"/>
      <c r="Y113" s="12" t="inlineStr">
        <is>
          <t>https://curiocity.com/best-hotel-spa-guerlain-toronto-2026/</t>
        </is>
      </c>
    </row>
    <row r="114">
      <c r="A114" s="10" t="n">
        <v>113</v>
      </c>
      <c r="B114" s="10" t="n">
        <v>1</v>
      </c>
      <c r="C114" s="11" t="inlineStr">
        <is>
          <t>43 Down</t>
        </is>
      </c>
      <c r="D114" s="10" t="inlineStr">
        <is>
          <t>Financial District</t>
        </is>
      </c>
      <c r="E114" s="10" t="inlineStr">
        <is>
          <t>Restaurant</t>
        </is>
      </c>
      <c r="F114" s="10" t="inlineStr">
        <is>
          <t>Contemporary</t>
        </is>
      </c>
      <c r="G114" s="10" t="inlineStr">
        <is>
          <t>123 Queen St W</t>
        </is>
      </c>
      <c r="H114" s="12" t="inlineStr">
        <is>
          <t>https://www.43downtoronto.ca/</t>
        </is>
      </c>
      <c r="I114" s="12" t="inlineStr">
        <is>
          <t>@43downtoronto</t>
        </is>
      </c>
      <c r="J114" s="10" t="inlineStr">
        <is>
          <t>416-361-1000</t>
        </is>
      </c>
      <c r="K114" s="10" t="inlineStr"/>
      <c r="L114" s="13" t="inlineStr">
        <is>
          <t>Hotel restaurant across from City Hall, fits a Black tier offer.</t>
        </is>
      </c>
      <c r="M114" s="10" t="inlineStr">
        <is>
          <t>Not checked</t>
        </is>
      </c>
      <c r="N114" s="10" t="inlineStr">
        <is>
          <t>Target</t>
        </is>
      </c>
      <c r="S114" s="14" t="n"/>
      <c r="U114" s="14" t="n"/>
      <c r="X114" s="13" t="inlineStr"/>
      <c r="Y114" s="12" t="inlineStr">
        <is>
          <t>https://www.43downtoronto.ca/</t>
        </is>
      </c>
    </row>
    <row r="115">
      <c r="A115" s="10" t="n">
        <v>114</v>
      </c>
      <c r="B115" s="10" t="n">
        <v>1</v>
      </c>
      <c r="C115" s="11" t="inlineStr">
        <is>
          <t>Alobar Downtown</t>
        </is>
      </c>
      <c r="D115" s="10" t="inlineStr">
        <is>
          <t>Financial District</t>
        </is>
      </c>
      <c r="E115" s="10" t="inlineStr">
        <is>
          <t>Restaurant</t>
        </is>
      </c>
      <c r="F115" s="10" t="inlineStr">
        <is>
          <t>Contemporary</t>
        </is>
      </c>
      <c r="G115" s="10" t="inlineStr">
        <is>
          <t>150 York St</t>
        </is>
      </c>
      <c r="H115" s="12" t="inlineStr">
        <is>
          <t>https://thealobar.com/alobar-downtown/</t>
        </is>
      </c>
      <c r="I115" s="12" t="inlineStr">
        <is>
          <t>@alobarrestaurants</t>
        </is>
      </c>
      <c r="J115" s="10" t="inlineStr">
        <is>
          <t>647-368-6981</t>
        </is>
      </c>
      <c r="K115" s="10" t="inlineStr"/>
      <c r="L115" s="13" t="inlineStr">
        <is>
          <t>Weekday lunch and dinner room close to bank towers.</t>
        </is>
      </c>
      <c r="M115" s="10" t="inlineStr">
        <is>
          <t>Not checked</t>
        </is>
      </c>
      <c r="N115" s="10" t="inlineStr">
        <is>
          <t>Target</t>
        </is>
      </c>
      <c r="S115" s="14" t="n"/>
      <c r="U115" s="14" t="n"/>
      <c r="X115" s="13" t="inlineStr"/>
      <c r="Y115" s="12" t="inlineStr">
        <is>
          <t>https://thealobar.com/alobar-downtown/</t>
        </is>
      </c>
    </row>
    <row r="116">
      <c r="A116" s="10" t="n">
        <v>115</v>
      </c>
      <c r="B116" s="10" t="n">
        <v>1</v>
      </c>
      <c r="C116" s="11" t="inlineStr">
        <is>
          <t>Amano Italian Kitchen</t>
        </is>
      </c>
      <c r="D116" s="10" t="inlineStr">
        <is>
          <t>Financial District</t>
        </is>
      </c>
      <c r="E116" s="10" t="inlineStr">
        <is>
          <t>Restaurant</t>
        </is>
      </c>
      <c r="F116" s="10" t="inlineStr">
        <is>
          <t>Italian</t>
        </is>
      </c>
      <c r="G116" s="10" t="inlineStr">
        <is>
          <t>65 Front St W (Union Station)</t>
        </is>
      </c>
      <c r="H116" s="12" t="inlineStr">
        <is>
          <t>https://www.eatamano.com/</t>
        </is>
      </c>
      <c r="I116" s="12" t="inlineStr">
        <is>
          <t>@eat.amano</t>
        </is>
      </c>
      <c r="J116" s="10" t="inlineStr">
        <is>
          <t>437-476-7495</t>
        </is>
      </c>
      <c r="K116" s="10" t="inlineStr"/>
      <c r="L116" s="13" t="inlineStr">
        <is>
          <t>Fresh pasta at Union Station for commuters after work.</t>
        </is>
      </c>
      <c r="M116" s="10" t="inlineStr">
        <is>
          <t>Not checked</t>
        </is>
      </c>
      <c r="N116" s="10" t="inlineStr">
        <is>
          <t>Target</t>
        </is>
      </c>
      <c r="S116" s="14" t="n"/>
      <c r="U116" s="14" t="n"/>
      <c r="X116" s="13" t="inlineStr"/>
      <c r="Y116" s="12" t="inlineStr">
        <is>
          <t>https://www.eatamano.com/</t>
        </is>
      </c>
    </row>
    <row r="117">
      <c r="A117" s="10" t="n">
        <v>116</v>
      </c>
      <c r="B117" s="10" t="n">
        <v>1</v>
      </c>
      <c r="C117" s="11" t="inlineStr">
        <is>
          <t>Bar Filo</t>
        </is>
      </c>
      <c r="D117" s="10" t="inlineStr">
        <is>
          <t>Financial District</t>
        </is>
      </c>
      <c r="E117" s="10" t="inlineStr">
        <is>
          <t>Restaurant</t>
        </is>
      </c>
      <c r="F117" s="10" t="inlineStr">
        <is>
          <t>Italian</t>
        </is>
      </c>
      <c r="G117" s="10" t="inlineStr">
        <is>
          <t>146 Yonge St</t>
        </is>
      </c>
      <c r="H117" s="12" t="inlineStr">
        <is>
          <t>https://barfilo.ca/</t>
        </is>
      </c>
      <c r="I117" s="10" t="inlineStr"/>
      <c r="J117" s="10" t="inlineStr">
        <is>
          <t>647-342-8774</t>
        </is>
      </c>
      <c r="K117" s="10" t="inlineStr"/>
      <c r="L117" s="13" t="inlineStr">
        <is>
          <t>Italian with a quick weekday prix fixe lunch for office workers.</t>
        </is>
      </c>
      <c r="M117" s="10" t="inlineStr">
        <is>
          <t>Not checked</t>
        </is>
      </c>
      <c r="N117" s="10" t="inlineStr">
        <is>
          <t>Target</t>
        </is>
      </c>
      <c r="S117" s="14" t="n"/>
      <c r="U117" s="14" t="n"/>
      <c r="X117" s="13" t="inlineStr"/>
      <c r="Y117" s="12" t="inlineStr">
        <is>
          <t>https://www.blogto.com/eat_drink/2025/09/bar-filo-toronto</t>
        </is>
      </c>
    </row>
    <row r="118">
      <c r="A118" s="10" t="n">
        <v>117</v>
      </c>
      <c r="B118" s="10" t="n">
        <v>1</v>
      </c>
      <c r="C118" s="11" t="inlineStr">
        <is>
          <t>Bardi's Steakhouse</t>
        </is>
      </c>
      <c r="D118" s="10" t="inlineStr">
        <is>
          <t>Financial District</t>
        </is>
      </c>
      <c r="E118" s="10" t="inlineStr">
        <is>
          <t>Restaurant</t>
        </is>
      </c>
      <c r="F118" s="10" t="inlineStr">
        <is>
          <t>Steakhouse</t>
        </is>
      </c>
      <c r="G118" s="10" t="inlineStr">
        <is>
          <t>56 York St</t>
        </is>
      </c>
      <c r="H118" s="12" t="inlineStr">
        <is>
          <t>http://www.bardis.com/</t>
        </is>
      </c>
      <c r="I118" s="12" t="inlineStr">
        <is>
          <t>@bardissteakhouse</t>
        </is>
      </c>
      <c r="J118" s="10" t="inlineStr">
        <is>
          <t>416-366-9211</t>
        </is>
      </c>
      <c r="K118" s="10" t="inlineStr"/>
      <c r="L118" s="13" t="inlineStr">
        <is>
          <t>Old-school steakhouse near Union, pre-game and client dinners.</t>
        </is>
      </c>
      <c r="M118" s="10" t="inlineStr">
        <is>
          <t>Not checked</t>
        </is>
      </c>
      <c r="N118" s="10" t="inlineStr">
        <is>
          <t>Target</t>
        </is>
      </c>
      <c r="S118" s="14" t="n"/>
      <c r="U118" s="14" t="n"/>
      <c r="X118" s="13" t="inlineStr"/>
      <c r="Y118" s="12" t="inlineStr">
        <is>
          <t>http://www.bardis.com/</t>
        </is>
      </c>
    </row>
    <row r="119">
      <c r="A119" s="10" t="n">
        <v>118</v>
      </c>
      <c r="B119" s="10" t="n">
        <v>1</v>
      </c>
      <c r="C119" s="11" t="inlineStr">
        <is>
          <t>Bindia Indian Bistro</t>
        </is>
      </c>
      <c r="D119" s="10" t="inlineStr">
        <is>
          <t>Financial District</t>
        </is>
      </c>
      <c r="E119" s="10" t="inlineStr">
        <is>
          <t>Restaurant</t>
        </is>
      </c>
      <c r="F119" s="10" t="inlineStr">
        <is>
          <t>Indian</t>
        </is>
      </c>
      <c r="G119" s="10" t="inlineStr">
        <is>
          <t>16 Market St</t>
        </is>
      </c>
      <c r="H119" s="12" t="inlineStr">
        <is>
          <t>https://www.bindia.ca/</t>
        </is>
      </c>
      <c r="I119" s="10" t="inlineStr"/>
      <c r="J119" s="10" t="inlineStr">
        <is>
          <t>416-863-0000</t>
        </is>
      </c>
      <c r="K119" s="10" t="inlineStr"/>
      <c r="L119" s="13" t="inlineStr">
        <is>
          <t>Family-owned Indian across from St. Lawrence Market.</t>
        </is>
      </c>
      <c r="M119" s="10" t="inlineStr">
        <is>
          <t>Not checked</t>
        </is>
      </c>
      <c r="N119" s="10" t="inlineStr">
        <is>
          <t>Target</t>
        </is>
      </c>
      <c r="S119" s="14" t="n"/>
      <c r="U119" s="14" t="n"/>
      <c r="X119" s="13" t="inlineStr">
        <is>
          <t>Check it's open before visiting: weak online evidence.</t>
        </is>
      </c>
      <c r="Y119" s="12" t="inlineStr">
        <is>
          <t>https://www.bindia.ca/</t>
        </is>
      </c>
    </row>
    <row r="120">
      <c r="A120" s="10" t="n">
        <v>119</v>
      </c>
      <c r="B120" s="10" t="n">
        <v>1</v>
      </c>
      <c r="C120" s="11" t="inlineStr">
        <is>
          <t>Blue Bovine</t>
        </is>
      </c>
      <c r="D120" s="10" t="inlineStr">
        <is>
          <t>Financial District</t>
        </is>
      </c>
      <c r="E120" s="10" t="inlineStr">
        <is>
          <t>Restaurant</t>
        </is>
      </c>
      <c r="F120" s="10" t="inlineStr">
        <is>
          <t>Steak and sushi</t>
        </is>
      </c>
      <c r="G120" s="10" t="inlineStr">
        <is>
          <t>65 Front St W, Unit 108 (Union Station)</t>
        </is>
      </c>
      <c r="H120" s="12" t="inlineStr">
        <is>
          <t>https://www.bluebovine.com/</t>
        </is>
      </c>
      <c r="I120" s="12" t="inlineStr">
        <is>
          <t>@bluebovine</t>
        </is>
      </c>
      <c r="J120" s="10" t="inlineStr">
        <is>
          <t>647-805-3682</t>
        </is>
      </c>
      <c r="K120" s="10" t="inlineStr">
        <is>
          <t>$$$$</t>
        </is>
      </c>
      <c r="L120" s="13" t="inlineStr">
        <is>
          <t>Premium steak and sushi at Union Station for client dinners.</t>
        </is>
      </c>
      <c r="M120" s="10" t="inlineStr">
        <is>
          <t>Not checked</t>
        </is>
      </c>
      <c r="N120" s="10" t="inlineStr">
        <is>
          <t>Target</t>
        </is>
      </c>
      <c r="S120" s="14" t="n"/>
      <c r="U120" s="14" t="n"/>
      <c r="X120" s="13" t="inlineStr"/>
      <c r="Y120" s="12" t="inlineStr">
        <is>
          <t>https://torontolife.com/food/whats-on-the-menu-at-blue-bovine-union-station-financial-district-steak-sushi/</t>
        </is>
      </c>
    </row>
    <row r="121">
      <c r="A121" s="10" t="n">
        <v>120</v>
      </c>
      <c r="B121" s="10" t="n">
        <v>1</v>
      </c>
      <c r="C121" s="11" t="inlineStr">
        <is>
          <t>Bymark</t>
        </is>
      </c>
      <c r="D121" s="10" t="inlineStr">
        <is>
          <t>Financial District</t>
        </is>
      </c>
      <c r="E121" s="10" t="inlineStr">
        <is>
          <t>Restaurant</t>
        </is>
      </c>
      <c r="F121" s="10" t="inlineStr">
        <is>
          <t>Contemporary</t>
        </is>
      </c>
      <c r="G121" s="10" t="inlineStr">
        <is>
          <t>66 Wellington St W</t>
        </is>
      </c>
      <c r="H121" s="12" t="inlineStr">
        <is>
          <t>http://www.bymark.ca/</t>
        </is>
      </c>
      <c r="I121" s="10" t="inlineStr"/>
      <c r="J121" s="10" t="inlineStr">
        <is>
          <t>416-777-1144</t>
        </is>
      </c>
      <c r="K121" s="10" t="inlineStr"/>
      <c r="L121" s="13" t="inlineStr">
        <is>
          <t>TD Centre power-lunch room with a Bay St clientele.</t>
        </is>
      </c>
      <c r="M121" s="10" t="inlineStr">
        <is>
          <t>Not checked</t>
        </is>
      </c>
      <c r="N121" s="10" t="inlineStr">
        <is>
          <t>Target</t>
        </is>
      </c>
      <c r="S121" s="14" t="n"/>
      <c r="U121" s="14" t="n"/>
      <c r="X121" s="13" t="inlineStr"/>
      <c r="Y121" s="12" t="inlineStr">
        <is>
          <t>https://www.opentable.com/bymark</t>
        </is>
      </c>
    </row>
    <row r="122">
      <c r="A122" s="10" t="n">
        <v>121</v>
      </c>
      <c r="B122" s="10" t="n">
        <v>1</v>
      </c>
      <c r="C122" s="11" t="inlineStr">
        <is>
          <t>Canoe</t>
        </is>
      </c>
      <c r="D122" s="10" t="inlineStr">
        <is>
          <t>Financial District</t>
        </is>
      </c>
      <c r="E122" s="10" t="inlineStr">
        <is>
          <t>Restaurant</t>
        </is>
      </c>
      <c r="F122" s="10" t="inlineStr">
        <is>
          <t>Canadian</t>
        </is>
      </c>
      <c r="G122" s="10" t="inlineStr">
        <is>
          <t>66 Wellington St W</t>
        </is>
      </c>
      <c r="H122" s="12" t="inlineStr">
        <is>
          <t>https://www.canoerestaurant.com/</t>
        </is>
      </c>
      <c r="I122" s="12" t="inlineStr">
        <is>
          <t>@canoerestaurant</t>
        </is>
      </c>
      <c r="J122" s="10" t="inlineStr">
        <is>
          <t>416-364-0054</t>
        </is>
      </c>
      <c r="K122" s="10" t="inlineStr"/>
      <c r="L122" s="13" t="inlineStr">
        <is>
          <t>Iconic TD Centre room for client dinners, a strong premium name.</t>
        </is>
      </c>
      <c r="M122" s="10" t="inlineStr">
        <is>
          <t>Not checked</t>
        </is>
      </c>
      <c r="N122" s="10" t="inlineStr">
        <is>
          <t>Target</t>
        </is>
      </c>
      <c r="S122" s="14" t="n"/>
      <c r="U122" s="14" t="n"/>
      <c r="X122" s="13" t="inlineStr"/>
      <c r="Y122" s="12" t="inlineStr">
        <is>
          <t>https://www.canoerestaurant.com/</t>
        </is>
      </c>
    </row>
    <row r="123">
      <c r="A123" s="10" t="n">
        <v>122</v>
      </c>
      <c r="B123" s="10" t="n">
        <v>1</v>
      </c>
      <c r="C123" s="11" t="inlineStr">
        <is>
          <t>Daphne</t>
        </is>
      </c>
      <c r="D123" s="10" t="inlineStr">
        <is>
          <t>Financial District</t>
        </is>
      </c>
      <c r="E123" s="10" t="inlineStr">
        <is>
          <t>Restaurant</t>
        </is>
      </c>
      <c r="F123" s="10" t="inlineStr">
        <is>
          <t>Modern American</t>
        </is>
      </c>
      <c r="G123" s="10" t="inlineStr">
        <is>
          <t>67 Richmond St W</t>
        </is>
      </c>
      <c r="H123" s="12" t="inlineStr">
        <is>
          <t>https://daphnetoronto.com/</t>
        </is>
      </c>
      <c r="I123" s="12" t="inlineStr">
        <is>
          <t>@daphnetoronto</t>
        </is>
      </c>
      <c r="J123" s="10" t="inlineStr">
        <is>
          <t>416-203-1414</t>
        </is>
      </c>
      <c r="K123" s="10" t="inlineStr"/>
      <c r="L123" s="13" t="inlineStr">
        <is>
          <t>Weekday lunch and date-night dinners with a garden terrace.</t>
        </is>
      </c>
      <c r="M123" s="10" t="inlineStr">
        <is>
          <t>Not checked</t>
        </is>
      </c>
      <c r="N123" s="10" t="inlineStr">
        <is>
          <t>Target</t>
        </is>
      </c>
      <c r="S123" s="14" t="n"/>
      <c r="U123" s="14" t="n"/>
      <c r="X123" s="13" t="inlineStr"/>
      <c r="Y123" s="12" t="inlineStr">
        <is>
          <t>https://daphnetoronto.com/</t>
        </is>
      </c>
    </row>
    <row r="124">
      <c r="A124" s="10" t="n">
        <v>123</v>
      </c>
      <c r="B124" s="10" t="n">
        <v>1</v>
      </c>
      <c r="C124" s="11" t="inlineStr">
        <is>
          <t>Edna + Vita</t>
        </is>
      </c>
      <c r="D124" s="10" t="inlineStr">
        <is>
          <t>Financial District</t>
        </is>
      </c>
      <c r="E124" s="10" t="inlineStr">
        <is>
          <t>Restaurant</t>
        </is>
      </c>
      <c r="F124" s="10" t="inlineStr">
        <is>
          <t>Italian</t>
        </is>
      </c>
      <c r="G124" s="10" t="inlineStr">
        <is>
          <t>77 Adelaide St W</t>
        </is>
      </c>
      <c r="H124" s="12" t="inlineStr">
        <is>
          <t>https://ednavita.com/</t>
        </is>
      </c>
      <c r="I124" s="12" t="inlineStr">
        <is>
          <t>@edna_vita</t>
        </is>
      </c>
      <c r="J124" s="10" t="inlineStr">
        <is>
          <t>437-562-6099</t>
        </is>
      </c>
      <c r="K124" s="10" t="inlineStr"/>
      <c r="L124" s="13" t="inlineStr">
        <is>
          <t>Italian near First Canadian Place, fit for after-work dinners.</t>
        </is>
      </c>
      <c r="M124" s="10" t="inlineStr">
        <is>
          <t>Not checked</t>
        </is>
      </c>
      <c r="N124" s="10" t="inlineStr">
        <is>
          <t>Target</t>
        </is>
      </c>
      <c r="S124" s="14" t="n"/>
      <c r="U124" s="14" t="n"/>
      <c r="X124" s="13" t="inlineStr"/>
      <c r="Y124" s="12" t="inlineStr">
        <is>
          <t>https://ednavita.com/menu/</t>
        </is>
      </c>
    </row>
    <row r="125">
      <c r="A125" s="10" t="n">
        <v>124</v>
      </c>
      <c r="B125" s="10" t="n">
        <v>1</v>
      </c>
      <c r="C125" s="11" t="inlineStr">
        <is>
          <t>Eloise</t>
        </is>
      </c>
      <c r="D125" s="10" t="inlineStr">
        <is>
          <t>Financial District</t>
        </is>
      </c>
      <c r="E125" s="10" t="inlineStr">
        <is>
          <t>Restaurant</t>
        </is>
      </c>
      <c r="F125" s="10" t="inlineStr">
        <is>
          <t>Contemporary Canadian</t>
        </is>
      </c>
      <c r="G125" s="10" t="inlineStr">
        <is>
          <t>42 The Esplanade</t>
        </is>
      </c>
      <c r="H125" s="12" t="inlineStr">
        <is>
          <t>https://eloiserestaurant.ca/</t>
        </is>
      </c>
      <c r="I125" s="10" t="inlineStr"/>
      <c r="J125" s="10" t="inlineStr">
        <is>
          <t>416-900-1437</t>
        </is>
      </c>
      <c r="K125" s="10" t="inlineStr">
        <is>
          <t>$$$</t>
        </is>
      </c>
      <c r="L125" s="13" t="inlineStr">
        <is>
          <t>New comfort-food dining room near St. Lawrence, building a regular base.</t>
        </is>
      </c>
      <c r="M125" s="10" t="inlineStr">
        <is>
          <t>Not checked</t>
        </is>
      </c>
      <c r="N125" s="10" t="inlineStr">
        <is>
          <t>Target</t>
        </is>
      </c>
      <c r="S125" s="14" t="n"/>
      <c r="U125" s="14" t="n"/>
      <c r="X125" s="13" t="inlineStr"/>
      <c r="Y125" s="12" t="inlineStr">
        <is>
          <t>https://www.blogto.com/restaurants/eloise-toronto/</t>
        </is>
      </c>
    </row>
    <row r="126">
      <c r="A126" s="10" t="n">
        <v>125</v>
      </c>
      <c r="B126" s="10" t="n">
        <v>1</v>
      </c>
      <c r="C126" s="11" t="inlineStr">
        <is>
          <t>Florin Trattoria</t>
        </is>
      </c>
      <c r="D126" s="10" t="inlineStr">
        <is>
          <t>Financial District</t>
        </is>
      </c>
      <c r="E126" s="10" t="inlineStr">
        <is>
          <t>Restaurant</t>
        </is>
      </c>
      <c r="F126" s="10" t="inlineStr">
        <is>
          <t>Italian</t>
        </is>
      </c>
      <c r="G126" s="10" t="inlineStr">
        <is>
          <t>80 Richmond St W</t>
        </is>
      </c>
      <c r="H126" s="12" t="inlineStr">
        <is>
          <t>https://florintrattoria.com/</t>
        </is>
      </c>
      <c r="I126" s="12" t="inlineStr">
        <is>
          <t>@florin.to</t>
        </is>
      </c>
      <c r="J126" s="10" t="inlineStr">
        <is>
          <t>416-504-8080</t>
        </is>
      </c>
      <c r="K126" s="10" t="inlineStr"/>
      <c r="L126" s="13" t="inlineStr">
        <is>
          <t>Florentine trattoria that suits after-work dinners.</t>
        </is>
      </c>
      <c r="M126" s="10" t="inlineStr">
        <is>
          <t>Not checked</t>
        </is>
      </c>
      <c r="N126" s="10" t="inlineStr">
        <is>
          <t>Target</t>
        </is>
      </c>
      <c r="S126" s="14" t="n"/>
      <c r="U126" s="14" t="n"/>
      <c r="X126" s="13" t="inlineStr"/>
      <c r="Y126" s="12" t="inlineStr">
        <is>
          <t>https://florintrattoria.com/</t>
        </is>
      </c>
    </row>
    <row r="127">
      <c r="A127" s="10" t="n">
        <v>126</v>
      </c>
      <c r="B127" s="10" t="n">
        <v>1</v>
      </c>
      <c r="C127" s="11" t="inlineStr">
        <is>
          <t>Frenchy Bar &amp; Brasserie</t>
        </is>
      </c>
      <c r="D127" s="10" t="inlineStr">
        <is>
          <t>Financial District</t>
        </is>
      </c>
      <c r="E127" s="10" t="inlineStr">
        <is>
          <t>Restaurant</t>
        </is>
      </c>
      <c r="F127" s="10" t="inlineStr">
        <is>
          <t>French</t>
        </is>
      </c>
      <c r="G127" s="10" t="inlineStr">
        <is>
          <t>145 Richmond St W</t>
        </is>
      </c>
      <c r="H127" s="12" t="inlineStr">
        <is>
          <t>https://www.frenchytoronto.com/</t>
        </is>
      </c>
      <c r="I127" s="12" t="inlineStr">
        <is>
          <t>@frenchytoronto</t>
        </is>
      </c>
      <c r="J127" s="10" t="inlineStr">
        <is>
          <t>416-860-6800</t>
        </is>
      </c>
      <c r="K127" s="10" t="inlineStr"/>
      <c r="L127" s="13" t="inlineStr">
        <is>
          <t>Open from breakfast, good for weekday meetings and dinners.</t>
        </is>
      </c>
      <c r="M127" s="10" t="inlineStr">
        <is>
          <t>Not checked</t>
        </is>
      </c>
      <c r="N127" s="10" t="inlineStr">
        <is>
          <t>Target</t>
        </is>
      </c>
      <c r="S127" s="14" t="n"/>
      <c r="U127" s="14" t="n"/>
      <c r="X127" s="13" t="inlineStr"/>
      <c r="Y127" s="12" t="inlineStr">
        <is>
          <t>https://www.frenchytoronto.com/</t>
        </is>
      </c>
    </row>
    <row r="128">
      <c r="A128" s="10" t="n">
        <v>127</v>
      </c>
      <c r="B128" s="10" t="n">
        <v>1</v>
      </c>
      <c r="C128" s="11" t="inlineStr">
        <is>
          <t>Ki Modern Japanese</t>
        </is>
      </c>
      <c r="D128" s="10" t="inlineStr">
        <is>
          <t>Financial District</t>
        </is>
      </c>
      <c r="E128" s="10" t="inlineStr">
        <is>
          <t>Restaurant</t>
        </is>
      </c>
      <c r="F128" s="10" t="inlineStr">
        <is>
          <t>Japanese</t>
        </is>
      </c>
      <c r="G128" s="10" t="inlineStr">
        <is>
          <t>181 Bay St</t>
        </is>
      </c>
      <c r="H128" s="12" t="inlineStr">
        <is>
          <t>https://www.kijapanese.com/</t>
        </is>
      </c>
      <c r="I128" s="12" t="inlineStr">
        <is>
          <t>@kijapanese</t>
        </is>
      </c>
      <c r="J128" s="10" t="inlineStr">
        <is>
          <t>416-308-5888</t>
        </is>
      </c>
      <c r="K128" s="10" t="inlineStr"/>
      <c r="L128" s="13" t="inlineStr">
        <is>
          <t>Japanese in Brookfield Place, steady business lunch crowd.</t>
        </is>
      </c>
      <c r="M128" s="10" t="inlineStr">
        <is>
          <t>Not checked</t>
        </is>
      </c>
      <c r="N128" s="10" t="inlineStr">
        <is>
          <t>Target</t>
        </is>
      </c>
      <c r="S128" s="14" t="n"/>
      <c r="U128" s="14" t="n"/>
      <c r="X128" s="13" t="inlineStr"/>
      <c r="Y128" s="12" t="inlineStr">
        <is>
          <t>https://www.kijapanese.com/</t>
        </is>
      </c>
    </row>
    <row r="129">
      <c r="A129" s="10" t="n">
        <v>128</v>
      </c>
      <c r="B129" s="10" t="n">
        <v>1</v>
      </c>
      <c r="C129" s="11" t="inlineStr">
        <is>
          <t>La Bettola di Terroni</t>
        </is>
      </c>
      <c r="D129" s="10" t="inlineStr">
        <is>
          <t>Financial District</t>
        </is>
      </c>
      <c r="E129" s="10" t="inlineStr">
        <is>
          <t>Restaurant</t>
        </is>
      </c>
      <c r="F129" s="10" t="inlineStr">
        <is>
          <t>Italian</t>
        </is>
      </c>
      <c r="G129" s="10" t="inlineStr">
        <is>
          <t>106 Victoria St</t>
        </is>
      </c>
      <c r="H129" s="12" t="inlineStr">
        <is>
          <t>https://www.terroni.com/</t>
        </is>
      </c>
      <c r="I129" s="12" t="inlineStr">
        <is>
          <t>@terroni.to</t>
        </is>
      </c>
      <c r="J129" s="10" t="inlineStr">
        <is>
          <t>416-504-9998</t>
        </is>
      </c>
      <c r="K129" s="10" t="inlineStr"/>
      <c r="L129" s="13" t="inlineStr">
        <is>
          <t>Cozy Italian off Queen St, good for weeknight dinners.</t>
        </is>
      </c>
      <c r="M129" s="10" t="inlineStr">
        <is>
          <t>Not checked</t>
        </is>
      </c>
      <c r="N129" s="10" t="inlineStr">
        <is>
          <t>Target</t>
        </is>
      </c>
      <c r="S129" s="14" t="n"/>
      <c r="U129" s="14" t="n"/>
      <c r="X129" s="13" t="inlineStr"/>
      <c r="Y129" s="12" t="inlineStr">
        <is>
          <t>https://www.terroni.com/</t>
        </is>
      </c>
    </row>
    <row r="130">
      <c r="A130" s="10" t="n">
        <v>129</v>
      </c>
      <c r="B130" s="10" t="n">
        <v>1</v>
      </c>
      <c r="C130" s="11" t="inlineStr">
        <is>
          <t>Laylak</t>
        </is>
      </c>
      <c r="D130" s="10" t="inlineStr">
        <is>
          <t>Financial District</t>
        </is>
      </c>
      <c r="E130" s="10" t="inlineStr">
        <is>
          <t>Restaurant</t>
        </is>
      </c>
      <c r="F130" s="10" t="inlineStr">
        <is>
          <t>Lebanese</t>
        </is>
      </c>
      <c r="G130" s="10" t="inlineStr">
        <is>
          <t>25 Toronto St</t>
        </is>
      </c>
      <c r="H130" s="12" t="inlineStr">
        <is>
          <t>https://laylak.ca/</t>
        </is>
      </c>
      <c r="I130" s="10" t="inlineStr"/>
      <c r="J130" s="10" t="inlineStr">
        <is>
          <t>647-368-8838</t>
        </is>
      </c>
      <c r="K130" s="10" t="inlineStr">
        <is>
          <t>$$$</t>
        </is>
      </c>
      <c r="L130" s="13" t="inlineStr">
        <is>
          <t>Modern Lebanese with sharing plates, busy business lunch.</t>
        </is>
      </c>
      <c r="M130" s="10" t="inlineStr">
        <is>
          <t>Not checked</t>
        </is>
      </c>
      <c r="N130" s="10" t="inlineStr">
        <is>
          <t>Target</t>
        </is>
      </c>
      <c r="S130" s="14" t="n"/>
      <c r="U130" s="14" t="n"/>
      <c r="X130" s="13" t="inlineStr"/>
      <c r="Y130" s="12" t="inlineStr">
        <is>
          <t>https://www.opentable.com/r/laylak-lebanese-cuisine-toronto</t>
        </is>
      </c>
    </row>
    <row r="131">
      <c r="A131" s="10" t="n">
        <v>130</v>
      </c>
      <c r="B131" s="10" t="n">
        <v>1</v>
      </c>
      <c r="C131" s="11" t="inlineStr">
        <is>
          <t>Lena</t>
        </is>
      </c>
      <c r="D131" s="10" t="inlineStr">
        <is>
          <t>Financial District</t>
        </is>
      </c>
      <c r="E131" s="10" t="inlineStr">
        <is>
          <t>Restaurant</t>
        </is>
      </c>
      <c r="F131" s="10" t="inlineStr">
        <is>
          <t>South American</t>
        </is>
      </c>
      <c r="G131" s="10" t="inlineStr">
        <is>
          <t>176 Yonge St</t>
        </is>
      </c>
      <c r="H131" s="12" t="inlineStr">
        <is>
          <t>https://www.lenarestaurante.com/</t>
        </is>
      </c>
      <c r="I131" s="12" t="inlineStr">
        <is>
          <t>@lenarestaurante</t>
        </is>
      </c>
      <c r="J131" s="10" t="inlineStr">
        <is>
          <t>416-507-3378</t>
        </is>
      </c>
      <c r="K131" s="10" t="inlineStr"/>
      <c r="L131" s="13" t="inlineStr">
        <is>
          <t>Big room near Queen and Yonge with lunch and dinner capacity.</t>
        </is>
      </c>
      <c r="M131" s="10" t="inlineStr">
        <is>
          <t>Not checked</t>
        </is>
      </c>
      <c r="N131" s="10" t="inlineStr">
        <is>
          <t>Target</t>
        </is>
      </c>
      <c r="S131" s="14" t="n"/>
      <c r="U131" s="14" t="n"/>
      <c r="X131" s="13" t="inlineStr"/>
      <c r="Y131" s="12" t="inlineStr">
        <is>
          <t>https://www.lenarestaurante.com/</t>
        </is>
      </c>
    </row>
    <row r="132">
      <c r="A132" s="10" t="n">
        <v>131</v>
      </c>
      <c r="B132" s="10" t="n">
        <v>1</v>
      </c>
      <c r="C132" s="11" t="inlineStr">
        <is>
          <t>Little Anthony's</t>
        </is>
      </c>
      <c r="D132" s="10" t="inlineStr">
        <is>
          <t>Financial District</t>
        </is>
      </c>
      <c r="E132" s="10" t="inlineStr">
        <is>
          <t>Restaurant</t>
        </is>
      </c>
      <c r="F132" s="10" t="inlineStr">
        <is>
          <t>Italian</t>
        </is>
      </c>
      <c r="G132" s="10" t="inlineStr">
        <is>
          <t>121 Richmond St W</t>
        </is>
      </c>
      <c r="H132" s="12" t="inlineStr">
        <is>
          <t>https://www.littleanthonys.ca/</t>
        </is>
      </c>
      <c r="I132" s="12" t="inlineStr">
        <is>
          <t>@littleanthonys.ca</t>
        </is>
      </c>
      <c r="J132" s="10" t="inlineStr">
        <is>
          <t>416-368-2223</t>
        </is>
      </c>
      <c r="K132" s="10" t="inlineStr"/>
      <c r="L132" s="13" t="inlineStr">
        <is>
          <t>Classic Italian for business lunches and early-week dinners.</t>
        </is>
      </c>
      <c r="M132" s="10" t="inlineStr">
        <is>
          <t>Not checked</t>
        </is>
      </c>
      <c r="N132" s="10" t="inlineStr">
        <is>
          <t>Target</t>
        </is>
      </c>
      <c r="S132" s="14" t="n"/>
      <c r="U132" s="14" t="n"/>
      <c r="X132" s="13" t="inlineStr">
        <is>
          <t>Check it's open before visiting: weak online evidence.</t>
        </is>
      </c>
      <c r="Y132" s="12" t="inlineStr">
        <is>
          <t>https://www.littleanthonys.ca/</t>
        </is>
      </c>
    </row>
    <row r="133">
      <c r="A133" s="10" t="n">
        <v>132</v>
      </c>
      <c r="B133" s="10" t="n">
        <v>1</v>
      </c>
      <c r="C133" s="11" t="inlineStr">
        <is>
          <t>Louix Louis</t>
        </is>
      </c>
      <c r="D133" s="10" t="inlineStr">
        <is>
          <t>Financial District</t>
        </is>
      </c>
      <c r="E133" s="10" t="inlineStr">
        <is>
          <t>Restaurant</t>
        </is>
      </c>
      <c r="F133" s="10" t="inlineStr">
        <is>
          <t>Contemporary</t>
        </is>
      </c>
      <c r="G133" s="10" t="inlineStr">
        <is>
          <t>325 Bay St, 31st floor (St. Regis)</t>
        </is>
      </c>
      <c r="H133" s="12" t="inlineStr">
        <is>
          <t>https://www.louixlouis.com/</t>
        </is>
      </c>
      <c r="I133" s="12" t="inlineStr">
        <is>
          <t>@louixlouis</t>
        </is>
      </c>
      <c r="J133" s="10" t="inlineStr">
        <is>
          <t>416-637-5550</t>
        </is>
      </c>
      <c r="K133" s="10" t="inlineStr"/>
      <c r="L133" s="13" t="inlineStr">
        <is>
          <t>Hotel dining room with a view, fits a Black tier offer.</t>
        </is>
      </c>
      <c r="M133" s="10" t="inlineStr">
        <is>
          <t>Not checked</t>
        </is>
      </c>
      <c r="N133" s="10" t="inlineStr">
        <is>
          <t>Target</t>
        </is>
      </c>
      <c r="S133" s="14" t="n"/>
      <c r="U133" s="14" t="n"/>
      <c r="X133" s="13" t="inlineStr"/>
      <c r="Y133" s="12" t="inlineStr">
        <is>
          <t>https://www.louixlouis.com/</t>
        </is>
      </c>
    </row>
    <row r="134">
      <c r="A134" s="10" t="n">
        <v>133</v>
      </c>
      <c r="B134" s="10" t="n">
        <v>1</v>
      </c>
      <c r="C134" s="11" t="inlineStr">
        <is>
          <t>Lucie</t>
        </is>
      </c>
      <c r="D134" s="10" t="inlineStr">
        <is>
          <t>Financial District</t>
        </is>
      </c>
      <c r="E134" s="10" t="inlineStr">
        <is>
          <t>Restaurant</t>
        </is>
      </c>
      <c r="F134" s="10" t="inlineStr">
        <is>
          <t>French</t>
        </is>
      </c>
      <c r="G134" s="10" t="inlineStr">
        <is>
          <t>100 Yonge St</t>
        </is>
      </c>
      <c r="H134" s="12" t="inlineStr">
        <is>
          <t>https://restaurantlucie.com/</t>
        </is>
      </c>
      <c r="I134" s="12" t="inlineStr">
        <is>
          <t>@restaurantlucie</t>
        </is>
      </c>
      <c r="J134" s="10" t="inlineStr">
        <is>
          <t>416-788-9054</t>
        </is>
      </c>
      <c r="K134" s="10" t="inlineStr"/>
      <c r="L134" s="13" t="inlineStr">
        <is>
          <t>French fine dining at King and Yonge, quieter early-week dinners.</t>
        </is>
      </c>
      <c r="M134" s="10" t="inlineStr">
        <is>
          <t>Not checked</t>
        </is>
      </c>
      <c r="N134" s="10" t="inlineStr">
        <is>
          <t>Target</t>
        </is>
      </c>
      <c r="S134" s="14" t="n"/>
      <c r="U134" s="14" t="n"/>
      <c r="X134" s="13" t="inlineStr"/>
      <c r="Y134" s="12" t="inlineStr">
        <is>
          <t>https://restaurantlucie.com/summerlicious</t>
        </is>
      </c>
    </row>
    <row r="135">
      <c r="A135" s="10" t="n">
        <v>134</v>
      </c>
      <c r="B135" s="10" t="n">
        <v>1</v>
      </c>
      <c r="C135" s="11" t="inlineStr">
        <is>
          <t>Pizzeria Libretto University</t>
        </is>
      </c>
      <c r="D135" s="10" t="inlineStr">
        <is>
          <t>Financial District</t>
        </is>
      </c>
      <c r="E135" s="10" t="inlineStr">
        <is>
          <t>Restaurant</t>
        </is>
      </c>
      <c r="F135" s="10" t="inlineStr">
        <is>
          <t>Pizza</t>
        </is>
      </c>
      <c r="G135" s="10" t="inlineStr">
        <is>
          <t>155 University Ave</t>
        </is>
      </c>
      <c r="H135" s="12" t="inlineStr">
        <is>
          <t>https://www.pizzerialibretto.com/</t>
        </is>
      </c>
      <c r="I135" s="12" t="inlineStr">
        <is>
          <t>@pizzerialibretto</t>
        </is>
      </c>
      <c r="J135" s="10" t="inlineStr">
        <is>
          <t>416-551-0433</t>
        </is>
      </c>
      <c r="K135" s="10" t="inlineStr"/>
      <c r="L135" s="13" t="inlineStr">
        <is>
          <t>Neapolitan pizza, an easy weeknight two-for-one.</t>
        </is>
      </c>
      <c r="M135" s="10" t="inlineStr">
        <is>
          <t>Not checked</t>
        </is>
      </c>
      <c r="N135" s="10" t="inlineStr">
        <is>
          <t>Target</t>
        </is>
      </c>
      <c r="S135" s="14" t="n"/>
      <c r="U135" s="14" t="n"/>
      <c r="X135" s="13" t="inlineStr"/>
      <c r="Y135" s="12" t="inlineStr">
        <is>
          <t>https://www.pizzerialibretto.com/</t>
        </is>
      </c>
    </row>
    <row r="136">
      <c r="A136" s="10" t="n">
        <v>135</v>
      </c>
      <c r="B136" s="10" t="n">
        <v>1</v>
      </c>
      <c r="C136" s="11" t="inlineStr">
        <is>
          <t>Richmond Station</t>
        </is>
      </c>
      <c r="D136" s="10" t="inlineStr">
        <is>
          <t>Financial District</t>
        </is>
      </c>
      <c r="E136" s="10" t="inlineStr">
        <is>
          <t>Restaurant</t>
        </is>
      </c>
      <c r="F136" s="10" t="inlineStr">
        <is>
          <t>Canadian</t>
        </is>
      </c>
      <c r="G136" s="10" t="inlineStr">
        <is>
          <t>1 Richmond St W</t>
        </is>
      </c>
      <c r="H136" s="12" t="inlineStr">
        <is>
          <t>https://richmondstation.ca/</t>
        </is>
      </c>
      <c r="I136" s="10" t="inlineStr"/>
      <c r="J136" s="10" t="inlineStr">
        <is>
          <t>647-748-1444</t>
        </is>
      </c>
      <c r="K136" s="10" t="inlineStr"/>
      <c r="L136" s="13" t="inlineStr">
        <is>
          <t>Well-loved chef-owned room near Yonge, strong credibility.</t>
        </is>
      </c>
      <c r="M136" s="10" t="inlineStr">
        <is>
          <t>Not checked</t>
        </is>
      </c>
      <c r="N136" s="10" t="inlineStr">
        <is>
          <t>Target</t>
        </is>
      </c>
      <c r="S136" s="14" t="n"/>
      <c r="U136" s="14" t="n"/>
      <c r="X136" s="13" t="inlineStr"/>
      <c r="Y136" s="12" t="inlineStr">
        <is>
          <t>https://richmondstation.ca/</t>
        </is>
      </c>
    </row>
    <row r="137">
      <c r="A137" s="10" t="n">
        <v>136</v>
      </c>
      <c r="B137" s="10" t="n">
        <v>1</v>
      </c>
      <c r="C137" s="11" t="inlineStr">
        <is>
          <t>Sammarco</t>
        </is>
      </c>
      <c r="D137" s="10" t="inlineStr">
        <is>
          <t>Financial District</t>
        </is>
      </c>
      <c r="E137" s="10" t="inlineStr">
        <is>
          <t>Restaurant</t>
        </is>
      </c>
      <c r="F137" s="10" t="inlineStr">
        <is>
          <t>Italian steakhouse</t>
        </is>
      </c>
      <c r="G137" s="10" t="inlineStr">
        <is>
          <t>4 Front St E</t>
        </is>
      </c>
      <c r="H137" s="12" t="inlineStr">
        <is>
          <t>https://sammarco.ca/</t>
        </is>
      </c>
      <c r="I137" s="10" t="inlineStr"/>
      <c r="J137" s="10" t="inlineStr">
        <is>
          <t>416-964-2120</t>
        </is>
      </c>
      <c r="K137" s="10" t="inlineStr"/>
      <c r="L137" s="13" t="inlineStr">
        <is>
          <t>Italian steakhouse near Yonge and Front for client dinners.</t>
        </is>
      </c>
      <c r="M137" s="10" t="inlineStr">
        <is>
          <t>Not checked</t>
        </is>
      </c>
      <c r="N137" s="10" t="inlineStr">
        <is>
          <t>Target</t>
        </is>
      </c>
      <c r="S137" s="14" t="n"/>
      <c r="U137" s="14" t="n"/>
      <c r="X137" s="13" t="inlineStr"/>
      <c r="Y137" s="12" t="inlineStr">
        <is>
          <t>https://sammarco.ca/</t>
        </is>
      </c>
    </row>
    <row r="138">
      <c r="A138" s="10" t="n">
        <v>137</v>
      </c>
      <c r="B138" s="10" t="n">
        <v>1</v>
      </c>
      <c r="C138" s="11" t="inlineStr">
        <is>
          <t>Shinji</t>
        </is>
      </c>
      <c r="D138" s="10" t="inlineStr">
        <is>
          <t>Financial District</t>
        </is>
      </c>
      <c r="E138" s="10" t="inlineStr">
        <is>
          <t>Restaurant</t>
        </is>
      </c>
      <c r="F138" s="10" t="inlineStr">
        <is>
          <t>Japanese</t>
        </is>
      </c>
      <c r="G138" s="10" t="inlineStr">
        <is>
          <t>333 Bay St</t>
        </is>
      </c>
      <c r="H138" s="12" t="inlineStr">
        <is>
          <t>https://shinjijapanese.com/</t>
        </is>
      </c>
      <c r="I138" s="12" t="inlineStr">
        <is>
          <t>@shinjijapanese</t>
        </is>
      </c>
      <c r="J138" s="10" t="inlineStr">
        <is>
          <t>416-321-5363</t>
        </is>
      </c>
      <c r="K138" s="10" t="inlineStr"/>
      <c r="L138" s="13" t="inlineStr">
        <is>
          <t>Japanese in the Bay Adelaide area, business lunch crowd.</t>
        </is>
      </c>
      <c r="M138" s="10" t="inlineStr">
        <is>
          <t>Not checked</t>
        </is>
      </c>
      <c r="N138" s="10" t="inlineStr">
        <is>
          <t>Target</t>
        </is>
      </c>
      <c r="S138" s="14" t="n"/>
      <c r="U138" s="14" t="n"/>
      <c r="X138" s="13" t="inlineStr"/>
      <c r="Y138" s="12" t="inlineStr">
        <is>
          <t>https://shinjijapanese.com/</t>
        </is>
      </c>
    </row>
    <row r="139">
      <c r="A139" s="10" t="n">
        <v>138</v>
      </c>
      <c r="B139" s="10" t="n">
        <v>1</v>
      </c>
      <c r="C139" s="11" t="inlineStr">
        <is>
          <t>Sukhothai Wellington</t>
        </is>
      </c>
      <c r="D139" s="10" t="inlineStr">
        <is>
          <t>Financial District</t>
        </is>
      </c>
      <c r="E139" s="10" t="inlineStr">
        <is>
          <t>Restaurant</t>
        </is>
      </c>
      <c r="F139" s="10" t="inlineStr">
        <is>
          <t>Thai</t>
        </is>
      </c>
      <c r="G139" s="10" t="inlineStr">
        <is>
          <t>52 Wellington St E</t>
        </is>
      </c>
      <c r="H139" s="12" t="inlineStr">
        <is>
          <t>https://sukhothaifood.ca/</t>
        </is>
      </c>
      <c r="I139" s="12" t="inlineStr">
        <is>
          <t>@sukhothaifood</t>
        </is>
      </c>
      <c r="J139" s="10" t="inlineStr">
        <is>
          <t>647-351-4612</t>
        </is>
      </c>
      <c r="K139" s="10" t="inlineStr"/>
      <c r="L139" s="13" t="inlineStr">
        <is>
          <t>Popular Thai near St. Lawrence, easy weekday lunch.</t>
        </is>
      </c>
      <c r="M139" s="10" t="inlineStr">
        <is>
          <t>Not checked</t>
        </is>
      </c>
      <c r="N139" s="10" t="inlineStr">
        <is>
          <t>Target</t>
        </is>
      </c>
      <c r="S139" s="14" t="n"/>
      <c r="U139" s="14" t="n"/>
      <c r="X139" s="13" t="inlineStr">
        <is>
          <t>Check it's open before visiting: weak online evidence.</t>
        </is>
      </c>
      <c r="Y139" s="12" t="inlineStr">
        <is>
          <t>https://sukhothaifood.ca/</t>
        </is>
      </c>
    </row>
    <row r="140">
      <c r="A140" s="10" t="n">
        <v>139</v>
      </c>
      <c r="B140" s="10" t="n">
        <v>1</v>
      </c>
      <c r="C140" s="11" t="inlineStr">
        <is>
          <t>Sushi Yugen</t>
        </is>
      </c>
      <c r="D140" s="10" t="inlineStr">
        <is>
          <t>Financial District</t>
        </is>
      </c>
      <c r="E140" s="10" t="inlineStr">
        <is>
          <t>Restaurant</t>
        </is>
      </c>
      <c r="F140" s="10" t="inlineStr">
        <is>
          <t>Japanese omakase</t>
        </is>
      </c>
      <c r="G140" s="10" t="inlineStr">
        <is>
          <t>150 York St</t>
        </is>
      </c>
      <c r="H140" s="12" t="inlineStr">
        <is>
          <t>https://sushiyugen.ca/</t>
        </is>
      </c>
      <c r="I140" s="12" t="inlineStr">
        <is>
          <t>@sushiyugen.ca</t>
        </is>
      </c>
      <c r="J140" s="10" t="inlineStr">
        <is>
          <t>416-363-1888</t>
        </is>
      </c>
      <c r="K140" s="10" t="inlineStr"/>
      <c r="L140" s="13" t="inlineStr">
        <is>
          <t>Omakase counter; a free upgrade offer may fit better than two-for-one.</t>
        </is>
      </c>
      <c r="M140" s="10" t="inlineStr">
        <is>
          <t>Not checked</t>
        </is>
      </c>
      <c r="N140" s="10" t="inlineStr">
        <is>
          <t>Target</t>
        </is>
      </c>
      <c r="S140" s="14" t="n"/>
      <c r="U140" s="14" t="n"/>
      <c r="X140" s="13" t="inlineStr"/>
      <c r="Y140" s="12" t="inlineStr">
        <is>
          <t>https://sushiyugen.ca/</t>
        </is>
      </c>
    </row>
    <row r="141">
      <c r="A141" s="10" t="n">
        <v>140</v>
      </c>
      <c r="B141" s="10" t="n">
        <v>1</v>
      </c>
      <c r="C141" s="11" t="inlineStr">
        <is>
          <t>The Frederick</t>
        </is>
      </c>
      <c r="D141" s="10" t="inlineStr">
        <is>
          <t>Financial District</t>
        </is>
      </c>
      <c r="E141" s="10" t="inlineStr">
        <is>
          <t>Restaurant</t>
        </is>
      </c>
      <c r="F141" s="10" t="inlineStr">
        <is>
          <t>Eclectic</t>
        </is>
      </c>
      <c r="G141" s="10" t="inlineStr">
        <is>
          <t>10 Temperance St</t>
        </is>
      </c>
      <c r="H141" s="12" t="inlineStr">
        <is>
          <t>https://thefrederickto.com/</t>
        </is>
      </c>
      <c r="I141" s="12" t="inlineStr">
        <is>
          <t>@thefrederickto</t>
        </is>
      </c>
      <c r="J141" s="10" t="inlineStr">
        <is>
          <t>647-601-7177</t>
        </is>
      </c>
      <c r="K141" s="10" t="inlineStr"/>
      <c r="L141" s="13" t="inlineStr">
        <is>
          <t>Chef-led room near Bay St, good for business lunches.</t>
        </is>
      </c>
      <c r="M141" s="10" t="inlineStr">
        <is>
          <t>Not checked</t>
        </is>
      </c>
      <c r="N141" s="10" t="inlineStr">
        <is>
          <t>Target</t>
        </is>
      </c>
      <c r="S141" s="14" t="n"/>
      <c r="U141" s="14" t="n"/>
      <c r="X141" s="13" t="inlineStr"/>
      <c r="Y141" s="12" t="inlineStr">
        <is>
          <t>https://thefrederickto.com/</t>
        </is>
      </c>
    </row>
    <row r="142">
      <c r="A142" s="10" t="n">
        <v>141</v>
      </c>
      <c r="B142" s="10" t="n">
        <v>1</v>
      </c>
      <c r="C142" s="11" t="inlineStr">
        <is>
          <t>The Joneses</t>
        </is>
      </c>
      <c r="D142" s="10" t="inlineStr">
        <is>
          <t>Financial District</t>
        </is>
      </c>
      <c r="E142" s="10" t="inlineStr">
        <is>
          <t>Restaurant</t>
        </is>
      </c>
      <c r="F142" s="10" t="inlineStr">
        <is>
          <t>Steakhouse</t>
        </is>
      </c>
      <c r="G142" s="10" t="inlineStr">
        <is>
          <t>33 Yonge St</t>
        </is>
      </c>
      <c r="H142" s="12" t="inlineStr">
        <is>
          <t>https://thejonesesrestaurant.com/</t>
        </is>
      </c>
      <c r="I142" s="12" t="inlineStr">
        <is>
          <t>@thejonesesrestaurant</t>
        </is>
      </c>
      <c r="J142" s="10" t="inlineStr">
        <is>
          <t>647-258-5209</t>
        </is>
      </c>
      <c r="K142" s="10" t="inlineStr"/>
      <c r="L142" s="13" t="inlineStr">
        <is>
          <t>Retro steakhouse near Union, good for pre-event dinners.</t>
        </is>
      </c>
      <c r="M142" s="10" t="inlineStr">
        <is>
          <t>Not checked</t>
        </is>
      </c>
      <c r="N142" s="10" t="inlineStr">
        <is>
          <t>Target</t>
        </is>
      </c>
      <c r="S142" s="14" t="n"/>
      <c r="U142" s="14" t="n"/>
      <c r="X142" s="13" t="inlineStr"/>
      <c r="Y142" s="12" t="inlineStr">
        <is>
          <t>https://thejonesesrestaurant.com/</t>
        </is>
      </c>
    </row>
    <row r="143">
      <c r="A143" s="10" t="n">
        <v>142</v>
      </c>
      <c r="B143" s="10" t="n">
        <v>1</v>
      </c>
      <c r="C143" s="11" t="inlineStr">
        <is>
          <t>TOCA</t>
        </is>
      </c>
      <c r="D143" s="10" t="inlineStr">
        <is>
          <t>Financial District</t>
        </is>
      </c>
      <c r="E143" s="10" t="inlineStr">
        <is>
          <t>Restaurant</t>
        </is>
      </c>
      <c r="F143" s="10" t="inlineStr">
        <is>
          <t>Italian</t>
        </is>
      </c>
      <c r="G143" s="10" t="inlineStr">
        <is>
          <t>181 Wellington St W (Ritz-Carlton)</t>
        </is>
      </c>
      <c r="H143" s="12" t="inlineStr">
        <is>
          <t>https://www.tocarestaurant.com/</t>
        </is>
      </c>
      <c r="I143" s="12" t="inlineStr">
        <is>
          <t>@tocatoronto</t>
        </is>
      </c>
      <c r="J143" s="10" t="inlineStr">
        <is>
          <t>416-572-8008</t>
        </is>
      </c>
      <c r="K143" s="10" t="inlineStr"/>
      <c r="L143" s="13" t="inlineStr">
        <is>
          <t>Hotel restaurant with brunch, fits a premium tier offer.</t>
        </is>
      </c>
      <c r="M143" s="10" t="inlineStr">
        <is>
          <t>Not checked</t>
        </is>
      </c>
      <c r="N143" s="10" t="inlineStr">
        <is>
          <t>Target</t>
        </is>
      </c>
      <c r="S143" s="14" t="n"/>
      <c r="U143" s="14" t="n"/>
      <c r="X143" s="13" t="inlineStr"/>
      <c r="Y143" s="12" t="inlineStr">
        <is>
          <t>https://www.tocarestaurant.com/</t>
        </is>
      </c>
    </row>
    <row r="144">
      <c r="A144" s="10" t="n">
        <v>143</v>
      </c>
      <c r="B144" s="10" t="n">
        <v>1</v>
      </c>
      <c r="C144" s="11" t="inlineStr">
        <is>
          <t>Volos</t>
        </is>
      </c>
      <c r="D144" s="10" t="inlineStr">
        <is>
          <t>Financial District</t>
        </is>
      </c>
      <c r="E144" s="10" t="inlineStr">
        <is>
          <t>Restaurant</t>
        </is>
      </c>
      <c r="F144" s="10" t="inlineStr">
        <is>
          <t>Greek</t>
        </is>
      </c>
      <c r="G144" s="10" t="inlineStr">
        <is>
          <t>133 Richmond St W</t>
        </is>
      </c>
      <c r="H144" s="12" t="inlineStr">
        <is>
          <t>https://www.volos.ca/</t>
        </is>
      </c>
      <c r="I144" s="12" t="inlineStr">
        <is>
          <t>@volos.ca</t>
        </is>
      </c>
      <c r="J144" s="10" t="inlineStr">
        <is>
          <t>416-861-1211</t>
        </is>
      </c>
      <c r="K144" s="10" t="inlineStr">
        <is>
          <t>$$$</t>
        </is>
      </c>
      <c r="L144" s="13" t="inlineStr">
        <is>
          <t>Long-running Greek near Bay St, steady business lunch crowd.</t>
        </is>
      </c>
      <c r="M144" s="10" t="inlineStr">
        <is>
          <t>Not checked</t>
        </is>
      </c>
      <c r="N144" s="10" t="inlineStr">
        <is>
          <t>Target</t>
        </is>
      </c>
      <c r="S144" s="14" t="n"/>
      <c r="U144" s="14" t="n"/>
      <c r="X144" s="13" t="inlineStr">
        <is>
          <t>Check it's open before visiting: weak online evidence.</t>
        </is>
      </c>
      <c r="Y144" s="12" t="inlineStr">
        <is>
          <t>https://www.volos.ca/</t>
        </is>
      </c>
    </row>
    <row r="145">
      <c r="A145" s="10" t="n">
        <v>144</v>
      </c>
      <c r="B145" s="10" t="n">
        <v>1</v>
      </c>
      <c r="C145" s="11" t="inlineStr">
        <is>
          <t>Bready</t>
        </is>
      </c>
      <c r="D145" s="10" t="inlineStr">
        <is>
          <t>Financial District</t>
        </is>
      </c>
      <c r="E145" s="10" t="inlineStr">
        <is>
          <t>Brunch</t>
        </is>
      </c>
      <c r="F145" s="10" t="inlineStr">
        <is>
          <t>Brunch café</t>
        </is>
      </c>
      <c r="G145" s="10" t="inlineStr">
        <is>
          <t>130 King St W</t>
        </is>
      </c>
      <c r="H145" s="12" t="inlineStr">
        <is>
          <t>https://breadycafe.com/</t>
        </is>
      </c>
      <c r="I145" s="12" t="inlineStr">
        <is>
          <t>@breadycafe</t>
        </is>
      </c>
      <c r="J145" s="10" t="inlineStr">
        <is>
          <t>647-601-3411</t>
        </is>
      </c>
      <c r="K145" s="10" t="inlineStr"/>
      <c r="L145" s="13" t="inlineStr">
        <is>
          <t>Brunch café in Exchange Tower, steady weekday breakfast trade.</t>
        </is>
      </c>
      <c r="M145" s="10" t="inlineStr">
        <is>
          <t>Not checked</t>
        </is>
      </c>
      <c r="N145" s="10" t="inlineStr">
        <is>
          <t>Target</t>
        </is>
      </c>
      <c r="S145" s="14" t="n"/>
      <c r="U145" s="14" t="n"/>
      <c r="X145" s="13" t="inlineStr"/>
      <c r="Y145" s="12" t="inlineStr">
        <is>
          <t>https://breadycafe.com/</t>
        </is>
      </c>
    </row>
    <row r="146">
      <c r="A146" s="10" t="n">
        <v>145</v>
      </c>
      <c r="B146" s="10" t="n">
        <v>1</v>
      </c>
      <c r="C146" s="11" t="inlineStr">
        <is>
          <t>Dineen Coffee</t>
        </is>
      </c>
      <c r="D146" s="10" t="inlineStr">
        <is>
          <t>Financial District</t>
        </is>
      </c>
      <c r="E146" s="10" t="inlineStr">
        <is>
          <t>Café</t>
        </is>
      </c>
      <c r="F146" s="10" t="inlineStr">
        <is>
          <t>Coffee and bakery</t>
        </is>
      </c>
      <c r="G146" s="10" t="inlineStr">
        <is>
          <t>140 Yonge St</t>
        </is>
      </c>
      <c r="H146" s="12" t="inlineStr">
        <is>
          <t>https://dineencoffee.com/</t>
        </is>
      </c>
      <c r="I146" s="12" t="inlineStr">
        <is>
          <t>@dineencoffeeco</t>
        </is>
      </c>
      <c r="J146" s="10" t="inlineStr">
        <is>
          <t>416-900-0949</t>
        </is>
      </c>
      <c r="K146" s="10" t="inlineStr"/>
      <c r="L146" s="13" t="inlineStr">
        <is>
          <t>Heritage café with seating at Yonge and Temperance.</t>
        </is>
      </c>
      <c r="M146" s="10" t="inlineStr">
        <is>
          <t>Not checked</t>
        </is>
      </c>
      <c r="N146" s="10" t="inlineStr">
        <is>
          <t>Target</t>
        </is>
      </c>
      <c r="S146" s="14" t="n"/>
      <c r="U146" s="14" t="n"/>
      <c r="X146" s="13" t="inlineStr"/>
      <c r="Y146" s="12" t="inlineStr">
        <is>
          <t>https://dineencoffee.com/</t>
        </is>
      </c>
    </row>
    <row r="147">
      <c r="A147" s="10" t="n">
        <v>146</v>
      </c>
      <c r="B147" s="10" t="n">
        <v>1</v>
      </c>
      <c r="C147" s="11" t="inlineStr">
        <is>
          <t>Humble Donkey</t>
        </is>
      </c>
      <c r="D147" s="10" t="inlineStr">
        <is>
          <t>Financial District</t>
        </is>
      </c>
      <c r="E147" s="10" t="inlineStr">
        <is>
          <t>Café</t>
        </is>
      </c>
      <c r="F147" s="10" t="inlineStr">
        <is>
          <t>Café</t>
        </is>
      </c>
      <c r="G147" s="10" t="inlineStr">
        <is>
          <t>60 York St (Union Hotel)</t>
        </is>
      </c>
      <c r="H147" s="12" t="inlineStr">
        <is>
          <t>https://unionhoteltoronto.com/humble-donkey/</t>
        </is>
      </c>
      <c r="I147" s="12" t="inlineStr">
        <is>
          <t>@humbledonkeyto</t>
        </is>
      </c>
      <c r="J147" s="10" t="inlineStr">
        <is>
          <t>416-363-3321</t>
        </is>
      </c>
      <c r="K147" s="10" t="inlineStr"/>
      <c r="L147" s="13" t="inlineStr">
        <is>
          <t>Hotel café near Union Station for commuters.</t>
        </is>
      </c>
      <c r="M147" s="10" t="inlineStr">
        <is>
          <t>Not checked</t>
        </is>
      </c>
      <c r="N147" s="10" t="inlineStr">
        <is>
          <t>Target</t>
        </is>
      </c>
      <c r="S147" s="14" t="n"/>
      <c r="U147" s="14" t="n"/>
      <c r="X147" s="13" t="inlineStr"/>
      <c r="Y147" s="12" t="inlineStr">
        <is>
          <t>https://unionhoteltoronto.com/humble-donkey/</t>
        </is>
      </c>
    </row>
    <row r="148">
      <c r="A148" s="10" t="n">
        <v>147</v>
      </c>
      <c r="B148" s="10" t="n">
        <v>1</v>
      </c>
      <c r="C148" s="11" t="inlineStr">
        <is>
          <t>Elmwood Spa</t>
        </is>
      </c>
      <c r="D148" s="10" t="inlineStr">
        <is>
          <t>Financial District</t>
        </is>
      </c>
      <c r="E148" s="10" t="inlineStr">
        <is>
          <t>Spa</t>
        </is>
      </c>
      <c r="F148" s="10" t="inlineStr">
        <is>
          <t>Day spa</t>
        </is>
      </c>
      <c r="G148" s="10" t="inlineStr">
        <is>
          <t>18 Elm St</t>
        </is>
      </c>
      <c r="H148" s="12" t="inlineStr">
        <is>
          <t>https://www.elmwoodspa.com/</t>
        </is>
      </c>
      <c r="I148" s="12" t="inlineStr">
        <is>
          <t>@elmwoodspa</t>
        </is>
      </c>
      <c r="J148" s="10" t="inlineStr">
        <is>
          <t>416-977-6751</t>
        </is>
      </c>
      <c r="K148" s="10" t="inlineStr"/>
      <c r="L148" s="13" t="inlineStr">
        <is>
          <t>Free upgrade on a longer massage or facial, weekdays.</t>
        </is>
      </c>
      <c r="M148" s="10" t="inlineStr">
        <is>
          <t>Not checked</t>
        </is>
      </c>
      <c r="N148" s="10" t="inlineStr">
        <is>
          <t>Target</t>
        </is>
      </c>
      <c r="S148" s="14" t="n"/>
      <c r="U148" s="14" t="n"/>
      <c r="X148" s="13" t="inlineStr"/>
      <c r="Y148" s="12" t="inlineStr">
        <is>
          <t>https://curiocity.com/best-spas-toronto-city-escape/</t>
        </is>
      </c>
    </row>
    <row r="149">
      <c r="A149" s="10" t="n">
        <v>148</v>
      </c>
      <c r="B149" s="10" t="n">
        <v>1</v>
      </c>
      <c r="C149" s="11" t="inlineStr">
        <is>
          <t>Sweetgrass Spa</t>
        </is>
      </c>
      <c r="D149" s="10" t="inlineStr">
        <is>
          <t>Financial District</t>
        </is>
      </c>
      <c r="E149" s="10" t="inlineStr">
        <is>
          <t>Spa</t>
        </is>
      </c>
      <c r="F149" s="10" t="inlineStr">
        <is>
          <t>Women-only day spa</t>
        </is>
      </c>
      <c r="G149" s="10" t="inlineStr">
        <is>
          <t>111E Queen St E</t>
        </is>
      </c>
      <c r="H149" s="12" t="inlineStr">
        <is>
          <t>https://www.sweetgrassspa.ca/</t>
        </is>
      </c>
      <c r="I149" s="12" t="inlineStr">
        <is>
          <t>@sweetgrassspa</t>
        </is>
      </c>
      <c r="J149" s="10" t="inlineStr"/>
      <c r="K149" s="10" t="inlineStr"/>
      <c r="L149" s="13" t="inlineStr">
        <is>
          <t>Free upgrade to a longer treatment on weekdays.</t>
        </is>
      </c>
      <c r="M149" s="10" t="inlineStr">
        <is>
          <t>Not checked</t>
        </is>
      </c>
      <c r="N149" s="10" t="inlineStr">
        <is>
          <t>Target</t>
        </is>
      </c>
      <c r="S149" s="14" t="n"/>
      <c r="U149" s="14" t="n"/>
      <c r="X149" s="13" t="inlineStr"/>
      <c r="Y149" s="12" t="inlineStr">
        <is>
          <t>https://www.sweetgrassspa.ca/</t>
        </is>
      </c>
    </row>
    <row r="150">
      <c r="A150" s="10" t="n">
        <v>149</v>
      </c>
      <c r="B150" s="10" t="n">
        <v>1</v>
      </c>
      <c r="C150" s="11" t="inlineStr">
        <is>
          <t>Tonic Spa at Sweat and Tonic</t>
        </is>
      </c>
      <c r="D150" s="10" t="inlineStr">
        <is>
          <t>Financial District</t>
        </is>
      </c>
      <c r="E150" s="10" t="inlineStr">
        <is>
          <t>Spa</t>
        </is>
      </c>
      <c r="F150" s="10" t="inlineStr">
        <is>
          <t>Hydrotherapy spa</t>
        </is>
      </c>
      <c r="G150" s="10" t="inlineStr">
        <is>
          <t>225 Yonge St</t>
        </is>
      </c>
      <c r="H150" s="12" t="inlineStr">
        <is>
          <t>https://sweatandtonic.com/pages/spa</t>
        </is>
      </c>
      <c r="I150" s="12" t="inlineStr">
        <is>
          <t>@sweatandtonic</t>
        </is>
      </c>
      <c r="J150" s="10" t="inlineStr"/>
      <c r="K150" s="10" t="inlineStr"/>
      <c r="L150" s="13" t="inlineStr">
        <is>
          <t>Free hydrotherapy access with a booked massage.</t>
        </is>
      </c>
      <c r="M150" s="10" t="inlineStr">
        <is>
          <t>Not checked</t>
        </is>
      </c>
      <c r="N150" s="10" t="inlineStr">
        <is>
          <t>Target</t>
        </is>
      </c>
      <c r="S150" s="14" t="n"/>
      <c r="U150" s="14" t="n"/>
      <c r="X150" s="13" t="inlineStr"/>
      <c r="Y150" s="12" t="inlineStr">
        <is>
          <t>https://curiocity.com/toronto-wellness-studios-ontario/</t>
        </is>
      </c>
    </row>
    <row r="151">
      <c r="A151" s="10" t="n">
        <v>150</v>
      </c>
      <c r="B151" s="10" t="n">
        <v>1</v>
      </c>
      <c r="C151" s="11" t="inlineStr">
        <is>
          <t>BeHot Yoga</t>
        </is>
      </c>
      <c r="D151" s="10" t="inlineStr">
        <is>
          <t>Financial District</t>
        </is>
      </c>
      <c r="E151" s="10" t="inlineStr">
        <is>
          <t>Studio</t>
        </is>
      </c>
      <c r="F151" s="10" t="inlineStr">
        <is>
          <t>Hot yoga</t>
        </is>
      </c>
      <c r="G151" s="10" t="inlineStr">
        <is>
          <t>43 Colborne St</t>
        </is>
      </c>
      <c r="H151" s="12" t="inlineStr">
        <is>
          <t>https://behotyogatoronto.com/</t>
        </is>
      </c>
      <c r="I151" s="12" t="inlineStr">
        <is>
          <t>@behotyogatoronto</t>
        </is>
      </c>
      <c r="J151" s="10" t="inlineStr"/>
      <c r="K151" s="10" t="inlineStr"/>
      <c r="L151" s="13" t="inlineStr">
        <is>
          <t>Bring a friend to a hot yoga class free, weekdays.</t>
        </is>
      </c>
      <c r="M151" s="10" t="inlineStr">
        <is>
          <t>Not checked</t>
        </is>
      </c>
      <c r="N151" s="10" t="inlineStr">
        <is>
          <t>Target</t>
        </is>
      </c>
      <c r="S151" s="14" t="n"/>
      <c r="U151" s="14" t="n"/>
      <c r="X151" s="13" t="inlineStr"/>
      <c r="Y151" s="12" t="inlineStr">
        <is>
          <t>https://behotyogatoronto.com/</t>
        </is>
      </c>
    </row>
    <row r="152">
      <c r="A152" s="10" t="n">
        <v>151</v>
      </c>
      <c r="B152" s="10" t="n">
        <v>1</v>
      </c>
      <c r="C152" s="11" t="inlineStr">
        <is>
          <t>Sweat and Tonic (Yonge St)</t>
        </is>
      </c>
      <c r="D152" s="10" t="inlineStr">
        <is>
          <t>Financial District</t>
        </is>
      </c>
      <c r="E152" s="10" t="inlineStr">
        <is>
          <t>Studio</t>
        </is>
      </c>
      <c r="F152" s="10" t="inlineStr">
        <is>
          <t>Multi-format fitness (yoga, ride, strength)</t>
        </is>
      </c>
      <c r="G152" s="10" t="inlineStr">
        <is>
          <t>225 Yonge St</t>
        </is>
      </c>
      <c r="H152" s="12" t="inlineStr">
        <is>
          <t>https://sweatandtonic.com/</t>
        </is>
      </c>
      <c r="I152" s="12" t="inlineStr">
        <is>
          <t>@sweatandtonic</t>
        </is>
      </c>
      <c r="J152" s="10" t="inlineStr"/>
      <c r="K152" s="10" t="inlineStr"/>
      <c r="L152" s="13" t="inlineStr">
        <is>
          <t>Bring a friend to a class free.</t>
        </is>
      </c>
      <c r="M152" s="10" t="inlineStr">
        <is>
          <t>Not checked</t>
        </is>
      </c>
      <c r="N152" s="10" t="inlineStr">
        <is>
          <t>Target</t>
        </is>
      </c>
      <c r="S152" s="14" t="n"/>
      <c r="U152" s="14" t="n"/>
      <c r="X152" s="13" t="inlineStr"/>
      <c r="Y152" s="12" t="inlineStr">
        <is>
          <t>https://sweatandtonic.com/</t>
        </is>
      </c>
    </row>
    <row r="153">
      <c r="A153" s="10" t="n">
        <v>152</v>
      </c>
      <c r="B153" s="10" t="n">
        <v>1</v>
      </c>
      <c r="C153" s="11" t="inlineStr">
        <is>
          <t>Miraj Hammam Spa at Shangri-La</t>
        </is>
      </c>
      <c r="D153" s="10" t="inlineStr">
        <is>
          <t>Financial District</t>
        </is>
      </c>
      <c r="E153" s="10" t="inlineStr">
        <is>
          <t>Hotel restaurant or spa</t>
        </is>
      </c>
      <c r="F153" s="10" t="inlineStr">
        <is>
          <t>Hotel spa (hammam)</t>
        </is>
      </c>
      <c r="G153" s="10" t="inlineStr">
        <is>
          <t>188 University Ave</t>
        </is>
      </c>
      <c r="H153" s="12" t="inlineStr">
        <is>
          <t>https://mirajhammamtoronto.com/</t>
        </is>
      </c>
      <c r="I153" s="12" t="inlineStr">
        <is>
          <t>@mirajhammamspa</t>
        </is>
      </c>
      <c r="J153" s="10" t="inlineStr">
        <is>
          <t>647-253-5770</t>
        </is>
      </c>
      <c r="K153" s="10" t="inlineStr"/>
      <c r="L153" s="13" t="inlineStr">
        <is>
          <t>Free scrub upgrade with a hammam ritual.</t>
        </is>
      </c>
      <c r="M153" s="10" t="inlineStr">
        <is>
          <t>Not checked</t>
        </is>
      </c>
      <c r="N153" s="10" t="inlineStr">
        <is>
          <t>Target</t>
        </is>
      </c>
      <c r="S153" s="14" t="n"/>
      <c r="U153" s="14" t="n"/>
      <c r="X153" s="13" t="inlineStr"/>
      <c r="Y153" s="12" t="inlineStr">
        <is>
          <t>https://mirajhammamtoronto.com/</t>
        </is>
      </c>
    </row>
    <row r="154">
      <c r="A154" s="10" t="n">
        <v>153</v>
      </c>
      <c r="B154" s="10" t="n">
        <v>1</v>
      </c>
      <c r="C154" s="11" t="inlineStr">
        <is>
          <t>Mokara Spa at The Omni King Edward</t>
        </is>
      </c>
      <c r="D154" s="10" t="inlineStr">
        <is>
          <t>Financial District</t>
        </is>
      </c>
      <c r="E154" s="10" t="inlineStr">
        <is>
          <t>Hotel restaurant or spa</t>
        </is>
      </c>
      <c r="F154" s="10" t="inlineStr">
        <is>
          <t>Hotel spa</t>
        </is>
      </c>
      <c r="G154" s="10" t="inlineStr">
        <is>
          <t>37 King St E</t>
        </is>
      </c>
      <c r="H154" s="12" t="inlineStr">
        <is>
          <t>https://www.omnihotels.com/hotels/toronto-king-edward/wellness</t>
        </is>
      </c>
      <c r="I154" s="10" t="inlineStr"/>
      <c r="J154" s="10" t="inlineStr">
        <is>
          <t>416-863-3131</t>
        </is>
      </c>
      <c r="K154" s="10" t="inlineStr"/>
      <c r="L154" s="13" t="inlineStr">
        <is>
          <t>Free upgrade on a massage or facial.</t>
        </is>
      </c>
      <c r="M154" s="10" t="inlineStr">
        <is>
          <t>Not checked</t>
        </is>
      </c>
      <c r="N154" s="10" t="inlineStr">
        <is>
          <t>Target</t>
        </is>
      </c>
      <c r="S154" s="14" t="n"/>
      <c r="U154" s="14" t="n"/>
      <c r="X154" s="13" t="inlineStr"/>
      <c r="Y154" s="12" t="inlineStr">
        <is>
          <t>https://omnihotels.com/hotels/toronto-king-edward/wellness</t>
        </is>
      </c>
    </row>
    <row r="155">
      <c r="A155" s="10" t="n">
        <v>154</v>
      </c>
      <c r="B155" s="10" t="n">
        <v>1</v>
      </c>
      <c r="C155" s="11" t="inlineStr">
        <is>
          <t>Spa My Blend by Clarins at The Ritz-Carlton</t>
        </is>
      </c>
      <c r="D155" s="10" t="inlineStr">
        <is>
          <t>Financial District</t>
        </is>
      </c>
      <c r="E155" s="10" t="inlineStr">
        <is>
          <t>Hotel restaurant or spa</t>
        </is>
      </c>
      <c r="F155" s="10" t="inlineStr">
        <is>
          <t>Hotel spa</t>
        </is>
      </c>
      <c r="G155" s="10" t="inlineStr">
        <is>
          <t>181 Wellington St W</t>
        </is>
      </c>
      <c r="H155" s="12" t="inlineStr">
        <is>
          <t>https://spamyblendtoronto.com/</t>
        </is>
      </c>
      <c r="I155" s="10" t="inlineStr"/>
      <c r="J155" s="10" t="inlineStr"/>
      <c r="K155" s="10" t="inlineStr"/>
      <c r="L155" s="13" t="inlineStr">
        <is>
          <t>Free add-on with a signature facial or massage.</t>
        </is>
      </c>
      <c r="M155" s="10" t="inlineStr">
        <is>
          <t>Not checked</t>
        </is>
      </c>
      <c r="N155" s="10" t="inlineStr">
        <is>
          <t>Target</t>
        </is>
      </c>
      <c r="S155" s="14" t="n"/>
      <c r="U155" s="14" t="n"/>
      <c r="X155" s="13" t="inlineStr"/>
      <c r="Y155" s="12" t="inlineStr">
        <is>
          <t>https://curiocity.com/toronto-spas-massages-facials/</t>
        </is>
      </c>
    </row>
    <row r="156">
      <c r="A156" s="10" t="n">
        <v>155</v>
      </c>
      <c r="B156" s="10" t="n">
        <v>1</v>
      </c>
      <c r="C156" s="11" t="inlineStr">
        <is>
          <t>The Spa at The St. Regis Toronto</t>
        </is>
      </c>
      <c r="D156" s="10" t="inlineStr">
        <is>
          <t>Financial District</t>
        </is>
      </c>
      <c r="E156" s="10" t="inlineStr">
        <is>
          <t>Hotel restaurant or spa</t>
        </is>
      </c>
      <c r="F156" s="10" t="inlineStr">
        <is>
          <t>Hotel spa</t>
        </is>
      </c>
      <c r="G156" s="10" t="inlineStr">
        <is>
          <t>325 Bay St</t>
        </is>
      </c>
      <c r="H156" s="12" t="inlineStr">
        <is>
          <t>https://www.marriott.com/en-us/hotels/yyzxr-the-st-regis-toronto/spa/</t>
        </is>
      </c>
      <c r="I156" s="10" t="inlineStr"/>
      <c r="J156" s="10" t="inlineStr"/>
      <c r="K156" s="10" t="inlineStr"/>
      <c r="L156" s="13" t="inlineStr">
        <is>
          <t>Free add-on with a full treatment, weekdays.</t>
        </is>
      </c>
      <c r="M156" s="10" t="inlineStr">
        <is>
          <t>Not checked</t>
        </is>
      </c>
      <c r="N156" s="10" t="inlineStr">
        <is>
          <t>Target</t>
        </is>
      </c>
      <c r="S156" s="14" t="n"/>
      <c r="U156" s="14" t="n"/>
      <c r="X156" s="13" t="inlineStr"/>
      <c r="Y156" s="12" t="inlineStr">
        <is>
          <t>https://marriott.com/en-us/hotels/yyzxr-the-st-regis-toronto/spa</t>
        </is>
      </c>
    </row>
    <row r="157">
      <c r="A157" s="10" t="n">
        <v>156</v>
      </c>
      <c r="B157" s="10" t="n">
        <v>1</v>
      </c>
      <c r="C157" s="11" t="inlineStr">
        <is>
          <t>Aburi Hana</t>
        </is>
      </c>
      <c r="D157" s="10" t="inlineStr">
        <is>
          <t>Yorkville</t>
        </is>
      </c>
      <c r="E157" s="10" t="inlineStr">
        <is>
          <t>Restaurant</t>
        </is>
      </c>
      <c r="F157" s="10" t="inlineStr">
        <is>
          <t>Japanese kaiseki</t>
        </is>
      </c>
      <c r="G157" s="10" t="inlineStr">
        <is>
          <t>102 Yorkville Ave</t>
        </is>
      </c>
      <c r="H157" s="12" t="inlineStr">
        <is>
          <t>https://aburihana.com</t>
        </is>
      </c>
      <c r="I157" s="12" t="inlineStr">
        <is>
          <t>@hanayorkville</t>
        </is>
      </c>
      <c r="J157" s="10" t="inlineStr">
        <is>
          <t>(647) 252-5194</t>
        </is>
      </c>
      <c r="K157" s="10" t="inlineStr"/>
      <c r="L157" s="13" t="inlineStr">
        <is>
          <t>High-end Japanese that could anchor a Black tier experience offer.</t>
        </is>
      </c>
      <c r="M157" s="10" t="inlineStr">
        <is>
          <t>Not checked</t>
        </is>
      </c>
      <c r="N157" s="10" t="inlineStr">
        <is>
          <t>Target</t>
        </is>
      </c>
      <c r="S157" s="14" t="n"/>
      <c r="U157" s="14" t="n"/>
      <c r="X157" s="13" t="inlineStr"/>
      <c r="Y157" s="12" t="inlineStr">
        <is>
          <t>https://aburihana.com</t>
        </is>
      </c>
    </row>
    <row r="158">
      <c r="A158" s="10" t="n">
        <v>157</v>
      </c>
      <c r="B158" s="10" t="n">
        <v>1</v>
      </c>
      <c r="C158" s="11" t="inlineStr">
        <is>
          <t>Adrak Yorkville</t>
        </is>
      </c>
      <c r="D158" s="10" t="inlineStr">
        <is>
          <t>Yorkville</t>
        </is>
      </c>
      <c r="E158" s="10" t="inlineStr">
        <is>
          <t>Restaurant</t>
        </is>
      </c>
      <c r="F158" s="10" t="inlineStr">
        <is>
          <t>Indian</t>
        </is>
      </c>
      <c r="G158" s="10" t="inlineStr">
        <is>
          <t>138 Avenue Rd</t>
        </is>
      </c>
      <c r="H158" s="12" t="inlineStr">
        <is>
          <t>https://www.adrakyorkville.ca</t>
        </is>
      </c>
      <c r="I158" s="12" t="inlineStr">
        <is>
          <t>@adrakyorkville</t>
        </is>
      </c>
      <c r="J158" s="10" t="inlineStr">
        <is>
          <t>(416) 413-0777</t>
        </is>
      </c>
      <c r="K158" s="10" t="inlineStr"/>
      <c r="L158" s="13" t="inlineStr">
        <is>
          <t>Michelin-recommended Indian with share plates that work well for two.</t>
        </is>
      </c>
      <c r="M158" s="10" t="inlineStr">
        <is>
          <t>Not checked</t>
        </is>
      </c>
      <c r="N158" s="10" t="inlineStr">
        <is>
          <t>Target</t>
        </is>
      </c>
      <c r="S158" s="14" t="n"/>
      <c r="U158" s="14" t="n"/>
      <c r="X158" s="13" t="inlineStr"/>
      <c r="Y158" s="12" t="inlineStr">
        <is>
          <t>https://www.michelin.com/en/publications/products-and-services/the-michelin-guide-2026-toronto</t>
        </is>
      </c>
    </row>
    <row r="159">
      <c r="A159" s="10" t="n">
        <v>158</v>
      </c>
      <c r="B159" s="10" t="n">
        <v>1</v>
      </c>
      <c r="C159" s="11" t="inlineStr">
        <is>
          <t>Alobar Yorkville</t>
        </is>
      </c>
      <c r="D159" s="10" t="inlineStr">
        <is>
          <t>Yorkville</t>
        </is>
      </c>
      <c r="E159" s="10" t="inlineStr">
        <is>
          <t>Restaurant</t>
        </is>
      </c>
      <c r="F159" s="10" t="inlineStr">
        <is>
          <t>French, seafood</t>
        </is>
      </c>
      <c r="G159" s="10" t="inlineStr">
        <is>
          <t>162 Cumberland St (courtyard, 57A)</t>
        </is>
      </c>
      <c r="H159" s="12" t="inlineStr">
        <is>
          <t>https://alobaryorkville.com</t>
        </is>
      </c>
      <c r="I159" s="12" t="inlineStr">
        <is>
          <t>@alobarrestaurants</t>
        </is>
      </c>
      <c r="J159" s="10" t="inlineStr"/>
      <c r="K159" s="10" t="inlineStr"/>
      <c r="L159" s="13" t="inlineStr">
        <is>
          <t>A Michelin-recommended courtyard spot with strong pull for a premium tier.</t>
        </is>
      </c>
      <c r="M159" s="10" t="inlineStr">
        <is>
          <t>Not checked</t>
        </is>
      </c>
      <c r="N159" s="10" t="inlineStr">
        <is>
          <t>Target</t>
        </is>
      </c>
      <c r="S159" s="14" t="n"/>
      <c r="U159" s="14" t="n"/>
      <c r="X159" s="13" t="inlineStr"/>
      <c r="Y159" s="12" t="inlineStr">
        <is>
          <t>https://www.michelin.com/en/publications/products-and-services/the-michelin-guide-2026-toronto</t>
        </is>
      </c>
    </row>
    <row r="160">
      <c r="A160" s="10" t="n">
        <v>159</v>
      </c>
      <c r="B160" s="10" t="n">
        <v>1</v>
      </c>
      <c r="C160" s="11" t="inlineStr">
        <is>
          <t>Amal</t>
        </is>
      </c>
      <c r="D160" s="10" t="inlineStr">
        <is>
          <t>Yorkville</t>
        </is>
      </c>
      <c r="E160" s="10" t="inlineStr">
        <is>
          <t>Restaurant</t>
        </is>
      </c>
      <c r="F160" s="10" t="inlineStr">
        <is>
          <t>Lebanese</t>
        </is>
      </c>
      <c r="G160" s="10" t="inlineStr">
        <is>
          <t>131 Bloor St W, 2nd floor</t>
        </is>
      </c>
      <c r="H160" s="12" t="inlineStr">
        <is>
          <t>https://www.amaltoronto.com</t>
        </is>
      </c>
      <c r="I160" s="10" t="inlineStr"/>
      <c r="J160" s="10" t="inlineStr">
        <is>
          <t>(416) 551-9929</t>
        </is>
      </c>
      <c r="K160" s="10" t="inlineStr"/>
      <c r="L160" s="13" t="inlineStr">
        <is>
          <t>Modern Lebanese built for sharing, which suits a bring-someone offer.</t>
        </is>
      </c>
      <c r="M160" s="10" t="inlineStr">
        <is>
          <t>Not checked</t>
        </is>
      </c>
      <c r="N160" s="10" t="inlineStr">
        <is>
          <t>Target</t>
        </is>
      </c>
      <c r="S160" s="14" t="n"/>
      <c r="U160" s="14" t="n"/>
      <c r="X160" s="13" t="inlineStr">
        <is>
          <t>Check it's open before visiting: weak online evidence.</t>
        </is>
      </c>
      <c r="Y160" s="12" t="inlineStr">
        <is>
          <t>https://www.amaltoronto.com</t>
        </is>
      </c>
    </row>
    <row r="161">
      <c r="A161" s="10" t="n">
        <v>160</v>
      </c>
      <c r="B161" s="10" t="n">
        <v>1</v>
      </c>
      <c r="C161" s="11" t="inlineStr">
        <is>
          <t>Buca Yorkville</t>
        </is>
      </c>
      <c r="D161" s="10" t="inlineStr">
        <is>
          <t>Yorkville</t>
        </is>
      </c>
      <c r="E161" s="10" t="inlineStr">
        <is>
          <t>Restaurant</t>
        </is>
      </c>
      <c r="F161" s="10" t="inlineStr">
        <is>
          <t>Italian</t>
        </is>
      </c>
      <c r="G161" s="10" t="inlineStr">
        <is>
          <t>53 Scollard St</t>
        </is>
      </c>
      <c r="H161" s="12" t="inlineStr">
        <is>
          <t>https://buca.ca</t>
        </is>
      </c>
      <c r="I161" s="12" t="inlineStr">
        <is>
          <t>@bucatoronto</t>
        </is>
      </c>
      <c r="J161" s="10" t="inlineStr">
        <is>
          <t>416-962-2822</t>
        </is>
      </c>
      <c r="K161" s="10" t="inlineStr"/>
      <c r="L161" s="13" t="inlineStr">
        <is>
          <t>A polished Italian room from a small local group with a business-dinner crowd.</t>
        </is>
      </c>
      <c r="M161" s="10" t="inlineStr">
        <is>
          <t>Not checked</t>
        </is>
      </c>
      <c r="N161" s="10" t="inlineStr">
        <is>
          <t>Target</t>
        </is>
      </c>
      <c r="S161" s="14" t="n"/>
      <c r="U161" s="14" t="n"/>
      <c r="X161" s="13" t="inlineStr"/>
      <c r="Y161" s="12" t="inlineStr">
        <is>
          <t>https://www.buca.ca/yorkville</t>
        </is>
      </c>
    </row>
    <row r="162">
      <c r="A162" s="10" t="n">
        <v>161</v>
      </c>
      <c r="B162" s="10" t="n">
        <v>1</v>
      </c>
      <c r="C162" s="11" t="inlineStr">
        <is>
          <t>Café Boulud</t>
        </is>
      </c>
      <c r="D162" s="10" t="inlineStr">
        <is>
          <t>Yorkville</t>
        </is>
      </c>
      <c r="E162" s="10" t="inlineStr">
        <is>
          <t>Restaurant</t>
        </is>
      </c>
      <c r="F162" s="10" t="inlineStr">
        <is>
          <t>French brasserie</t>
        </is>
      </c>
      <c r="G162" s="10" t="inlineStr">
        <is>
          <t>60 Yorkville Ave (Four Seasons Hotel)</t>
        </is>
      </c>
      <c r="H162" s="12" t="inlineStr">
        <is>
          <t>https://www.cafeboulud.com/toronto</t>
        </is>
      </c>
      <c r="I162" s="12" t="inlineStr">
        <is>
          <t>@cafebouludto</t>
        </is>
      </c>
      <c r="J162" s="10" t="inlineStr">
        <is>
          <t>(416) 963-6005</t>
        </is>
      </c>
      <c r="K162" s="10" t="inlineStr"/>
      <c r="L162" s="13" t="inlineStr">
        <is>
          <t>A hotel brasserie with brunch and dinner, a natural hotel restaurant partner.</t>
        </is>
      </c>
      <c r="M162" s="10" t="inlineStr">
        <is>
          <t>Not checked</t>
        </is>
      </c>
      <c r="N162" s="10" t="inlineStr">
        <is>
          <t>Target</t>
        </is>
      </c>
      <c r="S162" s="14" t="n"/>
      <c r="U162" s="14" t="n"/>
      <c r="X162" s="13" t="inlineStr">
        <is>
          <t>Check it's open before visiting: weak online evidence.</t>
        </is>
      </c>
      <c r="Y162" s="12" t="inlineStr">
        <is>
          <t>https://www.cafeboulud.com/toronto</t>
        </is>
      </c>
    </row>
    <row r="163">
      <c r="A163" s="10" t="n">
        <v>162</v>
      </c>
      <c r="B163" s="10" t="n">
        <v>1</v>
      </c>
      <c r="C163" s="11" t="inlineStr">
        <is>
          <t>Enigma Yorkville</t>
        </is>
      </c>
      <c r="D163" s="10" t="inlineStr">
        <is>
          <t>Yorkville</t>
        </is>
      </c>
      <c r="E163" s="10" t="inlineStr">
        <is>
          <t>Restaurant</t>
        </is>
      </c>
      <c r="F163" s="10" t="inlineStr">
        <is>
          <t>Contemporary tasting menu</t>
        </is>
      </c>
      <c r="G163" s="10" t="inlineStr">
        <is>
          <t>23 St Thomas St</t>
        </is>
      </c>
      <c r="H163" s="10" t="inlineStr"/>
      <c r="I163" s="10" t="inlineStr"/>
      <c r="J163" s="10" t="inlineStr"/>
      <c r="K163" s="10" t="inlineStr"/>
      <c r="L163" s="13" t="inlineStr">
        <is>
          <t>A Michelin-starred tasting room that fits a top-tier experience offer.</t>
        </is>
      </c>
      <c r="M163" s="10" t="inlineStr">
        <is>
          <t>Not checked</t>
        </is>
      </c>
      <c r="N163" s="10" t="inlineStr">
        <is>
          <t>Target</t>
        </is>
      </c>
      <c r="S163" s="14" t="n"/>
      <c r="U163" s="14" t="n"/>
      <c r="X163" s="13" t="inlineStr"/>
      <c r="Y163" s="12" t="inlineStr">
        <is>
          <t>https://tastet.ca/en/news/michelin-guide-toronto-2026-all-the-award-winners/</t>
        </is>
      </c>
    </row>
    <row r="164">
      <c r="A164" s="10" t="n">
        <v>163</v>
      </c>
      <c r="B164" s="10" t="n">
        <v>1</v>
      </c>
      <c r="C164" s="11" t="inlineStr">
        <is>
          <t>Joso's</t>
        </is>
      </c>
      <c r="D164" s="10" t="inlineStr">
        <is>
          <t>Yorkville</t>
        </is>
      </c>
      <c r="E164" s="10" t="inlineStr">
        <is>
          <t>Restaurant</t>
        </is>
      </c>
      <c r="F164" s="10" t="inlineStr">
        <is>
          <t>Italian, seafood</t>
        </is>
      </c>
      <c r="G164" s="10" t="inlineStr">
        <is>
          <t>202 Davenport Rd</t>
        </is>
      </c>
      <c r="H164" s="12" t="inlineStr">
        <is>
          <t>https://josos.com</t>
        </is>
      </c>
      <c r="I164" s="12" t="inlineStr">
        <is>
          <t>@jososrestaurant</t>
        </is>
      </c>
      <c r="J164" s="10" t="inlineStr">
        <is>
          <t>416-925-1903</t>
        </is>
      </c>
      <c r="K164" s="10" t="inlineStr"/>
      <c r="L164" s="13" t="inlineStr">
        <is>
          <t>A Yorkville seafood institution with loyal regulars who bring guests.</t>
        </is>
      </c>
      <c r="M164" s="10" t="inlineStr">
        <is>
          <t>Not checked</t>
        </is>
      </c>
      <c r="N164" s="10" t="inlineStr">
        <is>
          <t>Target</t>
        </is>
      </c>
      <c r="S164" s="14" t="n"/>
      <c r="U164" s="14" t="n"/>
      <c r="X164" s="13" t="inlineStr">
        <is>
          <t>Check it's open before visiting: weak online evidence.</t>
        </is>
      </c>
      <c r="Y164" s="12" t="inlineStr">
        <is>
          <t>https://josos.com</t>
        </is>
      </c>
    </row>
    <row r="165">
      <c r="A165" s="10" t="n">
        <v>164</v>
      </c>
      <c r="B165" s="10" t="n">
        <v>1</v>
      </c>
      <c r="C165" s="11" t="inlineStr">
        <is>
          <t>Kasa Moto</t>
        </is>
      </c>
      <c r="D165" s="10" t="inlineStr">
        <is>
          <t>Yorkville</t>
        </is>
      </c>
      <c r="E165" s="10" t="inlineStr">
        <is>
          <t>Restaurant</t>
        </is>
      </c>
      <c r="F165" s="10" t="inlineStr">
        <is>
          <t>Japanese</t>
        </is>
      </c>
      <c r="G165" s="10" t="inlineStr">
        <is>
          <t>115 Yorkville Ave</t>
        </is>
      </c>
      <c r="H165" s="12" t="inlineStr">
        <is>
          <t>https://www.kasamoto.ca</t>
        </is>
      </c>
      <c r="I165" s="12" t="inlineStr">
        <is>
          <t>@kasa_moto</t>
        </is>
      </c>
      <c r="J165" s="10" t="inlineStr">
        <is>
          <t>647-477-0423</t>
        </is>
      </c>
      <c r="K165" s="10" t="inlineStr"/>
      <c r="L165" s="13" t="inlineStr">
        <is>
          <t>Stylish Japanese with a rooftop patio that draws downtown professionals.</t>
        </is>
      </c>
      <c r="M165" s="10" t="inlineStr">
        <is>
          <t>Not checked</t>
        </is>
      </c>
      <c r="N165" s="10" t="inlineStr">
        <is>
          <t>Target</t>
        </is>
      </c>
      <c r="S165" s="14" t="n"/>
      <c r="U165" s="14" t="n"/>
      <c r="X165" s="13" t="inlineStr">
        <is>
          <t>Check it's open before visiting: weak online evidence.</t>
        </is>
      </c>
      <c r="Y165" s="12" t="inlineStr">
        <is>
          <t>https://www.kasamoto.ca</t>
        </is>
      </c>
    </row>
    <row r="166">
      <c r="A166" s="10" t="n">
        <v>165</v>
      </c>
      <c r="B166" s="10" t="n">
        <v>1</v>
      </c>
      <c r="C166" s="11" t="inlineStr">
        <is>
          <t>KOKO! Share Bar</t>
        </is>
      </c>
      <c r="D166" s="10" t="inlineStr">
        <is>
          <t>Yorkville</t>
        </is>
      </c>
      <c r="E166" s="10" t="inlineStr">
        <is>
          <t>Restaurant</t>
        </is>
      </c>
      <c r="F166" s="10" t="inlineStr">
        <is>
          <t>Korean, Japanese</t>
        </is>
      </c>
      <c r="G166" s="10" t="inlineStr">
        <is>
          <t>81 Yorkville Ave</t>
        </is>
      </c>
      <c r="H166" s="10" t="inlineStr"/>
      <c r="I166" s="10" t="inlineStr"/>
      <c r="J166" s="10" t="inlineStr">
        <is>
          <t>416-850-6135</t>
        </is>
      </c>
      <c r="K166" s="10" t="inlineStr">
        <is>
          <t>$$$</t>
        </is>
      </c>
      <c r="L166" s="13" t="inlineStr">
        <is>
          <t>A tucked-away share-plate spot that fits a bring-someone offer.</t>
        </is>
      </c>
      <c r="M166" s="10" t="inlineStr">
        <is>
          <t>Not checked</t>
        </is>
      </c>
      <c r="N166" s="10" t="inlineStr">
        <is>
          <t>Target</t>
        </is>
      </c>
      <c r="S166" s="14" t="n"/>
      <c r="U166" s="14" t="n"/>
      <c r="X166" s="13" t="inlineStr">
        <is>
          <t>Check it's open before visiting: weak online evidence.</t>
        </is>
      </c>
      <c r="Y166" s="12" t="inlineStr">
        <is>
          <t>https://www.opentable.ca/koko-share-bar?lang=fr-ca</t>
        </is>
      </c>
    </row>
    <row r="167">
      <c r="A167" s="10" t="n">
        <v>166</v>
      </c>
      <c r="B167" s="10" t="n">
        <v>1</v>
      </c>
      <c r="C167" s="11" t="inlineStr">
        <is>
          <t>Mar'aa</t>
        </is>
      </c>
      <c r="D167" s="10" t="inlineStr">
        <is>
          <t>Yorkville</t>
        </is>
      </c>
      <c r="E167" s="10" t="inlineStr">
        <is>
          <t>Restaurant</t>
        </is>
      </c>
      <c r="F167" s="10" t="inlineStr">
        <is>
          <t>Middle Eastern</t>
        </is>
      </c>
      <c r="G167" s="10" t="inlineStr">
        <is>
          <t>55 Bloor St W, 51st floor (Manulife Centre)</t>
        </is>
      </c>
      <c r="H167" s="10" t="inlineStr"/>
      <c r="I167" s="10" t="inlineStr"/>
      <c r="J167" s="10" t="inlineStr"/>
      <c r="K167" s="10" t="inlineStr"/>
      <c r="L167" s="13" t="inlineStr">
        <is>
          <t>A newer high-floor room with views that would make a standout partner.</t>
        </is>
      </c>
      <c r="M167" s="10" t="inlineStr">
        <is>
          <t>Not checked</t>
        </is>
      </c>
      <c r="N167" s="10" t="inlineStr">
        <is>
          <t>Target</t>
        </is>
      </c>
      <c r="S167" s="14" t="n"/>
      <c r="U167" s="14" t="n"/>
      <c r="X167" s="13" t="inlineStr"/>
      <c r="Y167" s="12" t="inlineStr">
        <is>
          <t>https://www.blogto.com/eat_drink/2025/07/maraa-yorkville-toronto/</t>
        </is>
      </c>
    </row>
    <row r="168">
      <c r="A168" s="10" t="n">
        <v>167</v>
      </c>
      <c r="B168" s="10" t="n">
        <v>1</v>
      </c>
      <c r="C168" s="11" t="inlineStr">
        <is>
          <t>MIMI Chinese</t>
        </is>
      </c>
      <c r="D168" s="10" t="inlineStr">
        <is>
          <t>Yorkville</t>
        </is>
      </c>
      <c r="E168" s="10" t="inlineStr">
        <is>
          <t>Restaurant</t>
        </is>
      </c>
      <c r="F168" s="10" t="inlineStr">
        <is>
          <t>Chinese</t>
        </is>
      </c>
      <c r="G168" s="10" t="inlineStr">
        <is>
          <t>265 Davenport Rd</t>
        </is>
      </c>
      <c r="H168" s="10" t="inlineStr"/>
      <c r="I168" s="10" t="inlineStr"/>
      <c r="J168" s="10" t="inlineStr">
        <is>
          <t>416-505-0799</t>
        </is>
      </c>
      <c r="K168" s="10" t="inlineStr">
        <is>
          <t>$$$$</t>
        </is>
      </c>
      <c r="L168" s="13" t="inlineStr">
        <is>
          <t>A sought-after Chinese dining room near Yorkville that fits a premium tier.</t>
        </is>
      </c>
      <c r="M168" s="10" t="inlineStr">
        <is>
          <t>Not checked</t>
        </is>
      </c>
      <c r="N168" s="10" t="inlineStr">
        <is>
          <t>Target</t>
        </is>
      </c>
      <c r="S168" s="14" t="n"/>
      <c r="U168" s="14" t="n"/>
      <c r="X168" s="13" t="inlineStr"/>
      <c r="Y168" s="12" t="inlineStr">
        <is>
          <t>https://tastet.ca/en/reviews/mimi-chinese-one-of-our-favourite-chinese-restaurants-in-toronto/?region=qc</t>
        </is>
      </c>
    </row>
    <row r="169">
      <c r="A169" s="10" t="n">
        <v>168</v>
      </c>
      <c r="B169" s="10" t="n">
        <v>1</v>
      </c>
      <c r="C169" s="11" t="inlineStr">
        <is>
          <t>Museum Tavern</t>
        </is>
      </c>
      <c r="D169" s="10" t="inlineStr">
        <is>
          <t>Yorkville</t>
        </is>
      </c>
      <c r="E169" s="10" t="inlineStr">
        <is>
          <t>Restaurant</t>
        </is>
      </c>
      <c r="F169" s="10" t="inlineStr">
        <is>
          <t>American brasserie</t>
        </is>
      </c>
      <c r="G169" s="10" t="inlineStr">
        <is>
          <t>208 Bloor St W, 2nd floor</t>
        </is>
      </c>
      <c r="H169" s="12" t="inlineStr">
        <is>
          <t>https://museumtavern.ca</t>
        </is>
      </c>
      <c r="I169" s="10" t="inlineStr"/>
      <c r="J169" s="10" t="inlineStr">
        <is>
          <t>416-920-0110</t>
        </is>
      </c>
      <c r="K169" s="10" t="inlineStr"/>
      <c r="L169" s="13" t="inlineStr">
        <is>
          <t>A brasserie across from the ROM, handy for lunch and pre-show dinners.</t>
        </is>
      </c>
      <c r="M169" s="10" t="inlineStr">
        <is>
          <t>Not checked</t>
        </is>
      </c>
      <c r="N169" s="10" t="inlineStr">
        <is>
          <t>Target</t>
        </is>
      </c>
      <c r="S169" s="14" t="n"/>
      <c r="U169" s="14" t="n"/>
      <c r="X169" s="13" t="inlineStr">
        <is>
          <t>Check it's open before visiting: weak online evidence.</t>
        </is>
      </c>
      <c r="Y169" s="12" t="inlineStr">
        <is>
          <t>https://museumtavern.ca</t>
        </is>
      </c>
    </row>
    <row r="170">
      <c r="A170" s="10" t="n">
        <v>169</v>
      </c>
      <c r="B170" s="10" t="n">
        <v>1</v>
      </c>
      <c r="C170" s="11" t="inlineStr">
        <is>
          <t>ONE Restaurant</t>
        </is>
      </c>
      <c r="D170" s="10" t="inlineStr">
        <is>
          <t>Yorkville</t>
        </is>
      </c>
      <c r="E170" s="10" t="inlineStr">
        <is>
          <t>Restaurant</t>
        </is>
      </c>
      <c r="F170" s="10" t="inlineStr">
        <is>
          <t>Contemporary</t>
        </is>
      </c>
      <c r="G170" s="10" t="inlineStr">
        <is>
          <t>116 Yorkville Ave (Hazelton Hotel)</t>
        </is>
      </c>
      <c r="H170" s="12" t="inlineStr">
        <is>
          <t>https://onerestaurant.ca</t>
        </is>
      </c>
      <c r="I170" s="10" t="inlineStr"/>
      <c r="J170" s="10" t="inlineStr">
        <is>
          <t>(416) 961-9600</t>
        </is>
      </c>
      <c r="K170" s="10" t="inlineStr"/>
      <c r="L170" s="13" t="inlineStr">
        <is>
          <t>A hotel restaurant with a tree-lined patio, right for a hotel dining offer.</t>
        </is>
      </c>
      <c r="M170" s="10" t="inlineStr">
        <is>
          <t>Not checked</t>
        </is>
      </c>
      <c r="N170" s="10" t="inlineStr">
        <is>
          <t>Target</t>
        </is>
      </c>
      <c r="S170" s="14" t="n"/>
      <c r="U170" s="14" t="n"/>
      <c r="X170" s="13" t="inlineStr"/>
      <c r="Y170" s="12" t="inlineStr">
        <is>
          <t>https://onerestaurant.ca</t>
        </is>
      </c>
    </row>
    <row r="171">
      <c r="A171" s="10" t="n">
        <v>170</v>
      </c>
      <c r="B171" s="10" t="n">
        <v>1</v>
      </c>
      <c r="C171" s="11" t="inlineStr">
        <is>
          <t>Opus Restaurant</t>
        </is>
      </c>
      <c r="D171" s="10" t="inlineStr">
        <is>
          <t>Yorkville</t>
        </is>
      </c>
      <c r="E171" s="10" t="inlineStr">
        <is>
          <t>Restaurant</t>
        </is>
      </c>
      <c r="F171" s="10" t="inlineStr">
        <is>
          <t>Contemporary</t>
        </is>
      </c>
      <c r="G171" s="10" t="inlineStr">
        <is>
          <t>37 Prince Arthur Ave</t>
        </is>
      </c>
      <c r="H171" s="12" t="inlineStr">
        <is>
          <t>https://www.opusrestaurant.com</t>
        </is>
      </c>
      <c r="I171" s="10" t="inlineStr"/>
      <c r="J171" s="10" t="inlineStr">
        <is>
          <t>(416) 921-3105</t>
        </is>
      </c>
      <c r="K171" s="10" t="inlineStr"/>
      <c r="L171" s="13" t="inlineStr">
        <is>
          <t>A refined Annex-edge dining room suited to client dinners and dates.</t>
        </is>
      </c>
      <c r="M171" s="10" t="inlineStr">
        <is>
          <t>Not checked</t>
        </is>
      </c>
      <c r="N171" s="10" t="inlineStr">
        <is>
          <t>Target</t>
        </is>
      </c>
      <c r="S171" s="14" t="n"/>
      <c r="U171" s="14" t="n"/>
      <c r="X171" s="13" t="inlineStr"/>
      <c r="Y171" s="12" t="inlineStr">
        <is>
          <t>https://www.opusrestaurant.com</t>
        </is>
      </c>
    </row>
    <row r="172">
      <c r="A172" s="10" t="n">
        <v>171</v>
      </c>
      <c r="B172" s="10" t="n">
        <v>1</v>
      </c>
      <c r="C172" s="11" t="inlineStr">
        <is>
          <t>Osteria Giulia</t>
        </is>
      </c>
      <c r="D172" s="10" t="inlineStr">
        <is>
          <t>Yorkville</t>
        </is>
      </c>
      <c r="E172" s="10" t="inlineStr">
        <is>
          <t>Restaurant</t>
        </is>
      </c>
      <c r="F172" s="10" t="inlineStr">
        <is>
          <t>Italian</t>
        </is>
      </c>
      <c r="G172" s="10" t="inlineStr">
        <is>
          <t>134 Avenue Rd</t>
        </is>
      </c>
      <c r="H172" s="12" t="inlineStr">
        <is>
          <t>https://osteriagiulia.ca</t>
        </is>
      </c>
      <c r="I172" s="12" t="inlineStr">
        <is>
          <t>@osteriagiulia</t>
        </is>
      </c>
      <c r="J172" s="10" t="inlineStr">
        <is>
          <t>416-964-8686</t>
        </is>
      </c>
      <c r="K172" s="10" t="inlineStr"/>
      <c r="L172" s="13" t="inlineStr">
        <is>
          <t>A Michelin-starred Italian room that would lift the partner list's credibility.</t>
        </is>
      </c>
      <c r="M172" s="10" t="inlineStr">
        <is>
          <t>Not checked</t>
        </is>
      </c>
      <c r="N172" s="10" t="inlineStr">
        <is>
          <t>Target</t>
        </is>
      </c>
      <c r="S172" s="14" t="n"/>
      <c r="U172" s="14" t="n"/>
      <c r="X172" s="13" t="inlineStr"/>
      <c r="Y172" s="12" t="inlineStr">
        <is>
          <t>https://tastet.ca/en/news/michelin-guide-toronto-2026-all-the-award-winners/</t>
        </is>
      </c>
    </row>
    <row r="173">
      <c r="A173" s="10" t="n">
        <v>172</v>
      </c>
      <c r="B173" s="10" t="n">
        <v>1</v>
      </c>
      <c r="C173" s="11" t="inlineStr">
        <is>
          <t>Playa Cabana</t>
        </is>
      </c>
      <c r="D173" s="10" t="inlineStr">
        <is>
          <t>Yorkville</t>
        </is>
      </c>
      <c r="E173" s="10" t="inlineStr">
        <is>
          <t>Restaurant</t>
        </is>
      </c>
      <c r="F173" s="10" t="inlineStr">
        <is>
          <t>Mexican</t>
        </is>
      </c>
      <c r="G173" s="10" t="inlineStr">
        <is>
          <t>111 Dupont St</t>
        </is>
      </c>
      <c r="H173" s="12" t="inlineStr">
        <is>
          <t>https://www.playacabana.ca</t>
        </is>
      </c>
      <c r="I173" s="12" t="inlineStr">
        <is>
          <t>@playacabana</t>
        </is>
      </c>
      <c r="J173" s="10" t="inlineStr"/>
      <c r="K173" s="10" t="inlineStr"/>
      <c r="L173" s="13" t="inlineStr">
        <is>
          <t>A casual Mexican spot on the Yorkville and Annex edge, easy for weeknights.</t>
        </is>
      </c>
      <c r="M173" s="10" t="inlineStr">
        <is>
          <t>Not checked</t>
        </is>
      </c>
      <c r="N173" s="10" t="inlineStr">
        <is>
          <t>Target</t>
        </is>
      </c>
      <c r="S173" s="14" t="n"/>
      <c r="U173" s="14" t="n"/>
      <c r="X173" s="13" t="inlineStr"/>
      <c r="Y173" s="12" t="inlineStr">
        <is>
          <t>https://www.playacabana.ca</t>
        </is>
      </c>
    </row>
    <row r="174">
      <c r="A174" s="10" t="n">
        <v>173</v>
      </c>
      <c r="B174" s="10" t="n">
        <v>1</v>
      </c>
      <c r="C174" s="11" t="inlineStr">
        <is>
          <t>Ramen Tabetai</t>
        </is>
      </c>
      <c r="D174" s="10" t="inlineStr">
        <is>
          <t>Yorkville</t>
        </is>
      </c>
      <c r="E174" s="10" t="inlineStr">
        <is>
          <t>Restaurant</t>
        </is>
      </c>
      <c r="F174" s="10" t="inlineStr">
        <is>
          <t>Japanese ramen</t>
        </is>
      </c>
      <c r="G174" s="10" t="inlineStr">
        <is>
          <t>154 Cumberland St, 2nd floor</t>
        </is>
      </c>
      <c r="H174" s="10" t="inlineStr"/>
      <c r="I174" s="10" t="inlineStr"/>
      <c r="J174" s="10" t="inlineStr"/>
      <c r="K174" s="10" t="inlineStr"/>
      <c r="L174" s="13" t="inlineStr">
        <is>
          <t>A small ramen counter from a Michelin chef, good for a quick weeknight visit.</t>
        </is>
      </c>
      <c r="M174" s="10" t="inlineStr">
        <is>
          <t>Not checked</t>
        </is>
      </c>
      <c r="N174" s="10" t="inlineStr">
        <is>
          <t>Target</t>
        </is>
      </c>
      <c r="S174" s="14" t="n"/>
      <c r="U174" s="14" t="n"/>
      <c r="X174" s="13" t="inlineStr"/>
      <c r="Y174" s="12" t="inlineStr">
        <is>
          <t>https://streetsoftoronto.com/food/restaurants/the-best-new-restaurants-in-yorkville/</t>
        </is>
      </c>
    </row>
    <row r="175">
      <c r="A175" s="10" t="n">
        <v>174</v>
      </c>
      <c r="B175" s="10" t="n">
        <v>1</v>
      </c>
      <c r="C175" s="11" t="inlineStr">
        <is>
          <t>Ristorante Sotto Sotto</t>
        </is>
      </c>
      <c r="D175" s="10" t="inlineStr">
        <is>
          <t>Yorkville</t>
        </is>
      </c>
      <c r="E175" s="10" t="inlineStr">
        <is>
          <t>Restaurant</t>
        </is>
      </c>
      <c r="F175" s="10" t="inlineStr">
        <is>
          <t>Italian</t>
        </is>
      </c>
      <c r="G175" s="10" t="inlineStr">
        <is>
          <t>120 Avenue Rd</t>
        </is>
      </c>
      <c r="H175" s="12" t="inlineStr">
        <is>
          <t>https://sottosotto.ca</t>
        </is>
      </c>
      <c r="I175" s="12" t="inlineStr">
        <is>
          <t>@sottosotto</t>
        </is>
      </c>
      <c r="J175" s="10" t="inlineStr">
        <is>
          <t>(416) 962-0011</t>
        </is>
      </c>
      <c r="K175" s="10" t="inlineStr"/>
      <c r="L175" s="13" t="inlineStr">
        <is>
          <t>A long-running Yorkville Italian room that suits a classic date night.</t>
        </is>
      </c>
      <c r="M175" s="10" t="inlineStr">
        <is>
          <t>Not checked</t>
        </is>
      </c>
      <c r="N175" s="10" t="inlineStr">
        <is>
          <t>Target</t>
        </is>
      </c>
      <c r="S175" s="14" t="n"/>
      <c r="U175" s="14" t="n"/>
      <c r="X175" s="13" t="inlineStr"/>
      <c r="Y175" s="12" t="inlineStr">
        <is>
          <t>https://sottosotto.ca</t>
        </is>
      </c>
    </row>
    <row r="176">
      <c r="A176" s="10" t="n">
        <v>175</v>
      </c>
      <c r="B176" s="10" t="n">
        <v>1</v>
      </c>
      <c r="C176" s="11" t="inlineStr">
        <is>
          <t>Sassafraz</t>
        </is>
      </c>
      <c r="D176" s="10" t="inlineStr">
        <is>
          <t>Yorkville</t>
        </is>
      </c>
      <c r="E176" s="10" t="inlineStr">
        <is>
          <t>Restaurant</t>
        </is>
      </c>
      <c r="F176" s="10" t="inlineStr">
        <is>
          <t>Contemporary</t>
        </is>
      </c>
      <c r="G176" s="10" t="inlineStr">
        <is>
          <t>100 Cumberland St</t>
        </is>
      </c>
      <c r="H176" s="12" t="inlineStr">
        <is>
          <t>https://sassafraz.ca</t>
        </is>
      </c>
      <c r="I176" s="12" t="inlineStr">
        <is>
          <t>@thesassafraz</t>
        </is>
      </c>
      <c r="J176" s="10" t="inlineStr"/>
      <c r="K176" s="10" t="inlineStr"/>
      <c r="L176" s="13" t="inlineStr">
        <is>
          <t>A bright Yorkville room known for brunch and special occasions.</t>
        </is>
      </c>
      <c r="M176" s="10" t="inlineStr">
        <is>
          <t>Not checked</t>
        </is>
      </c>
      <c r="N176" s="10" t="inlineStr">
        <is>
          <t>Target</t>
        </is>
      </c>
      <c r="S176" s="14" t="n"/>
      <c r="U176" s="14" t="n"/>
      <c r="X176" s="13" t="inlineStr"/>
      <c r="Y176" s="12" t="inlineStr">
        <is>
          <t>https://sassafraz.ca</t>
        </is>
      </c>
    </row>
    <row r="177">
      <c r="A177" s="10" t="n">
        <v>176</v>
      </c>
      <c r="B177" s="10" t="n">
        <v>1</v>
      </c>
      <c r="C177" s="11" t="inlineStr">
        <is>
          <t>Sofia Yorkville</t>
        </is>
      </c>
      <c r="D177" s="10" t="inlineStr">
        <is>
          <t>Yorkville</t>
        </is>
      </c>
      <c r="E177" s="10" t="inlineStr">
        <is>
          <t>Restaurant</t>
        </is>
      </c>
      <c r="F177" s="10" t="inlineStr">
        <is>
          <t>Italian</t>
        </is>
      </c>
      <c r="G177" s="10" t="inlineStr">
        <is>
          <t>99 Yorkville Ave</t>
        </is>
      </c>
      <c r="H177" s="12" t="inlineStr">
        <is>
          <t>https://sofiayorkville.com</t>
        </is>
      </c>
      <c r="I177" s="12" t="inlineStr">
        <is>
          <t>@sofiayorkville</t>
        </is>
      </c>
      <c r="J177" s="10" t="inlineStr">
        <is>
          <t>416-479-8974</t>
        </is>
      </c>
      <c r="K177" s="10" t="inlineStr"/>
      <c r="L177" s="13" t="inlineStr">
        <is>
          <t>An art-filled Italian dining room with a garden patio, made for a night out.</t>
        </is>
      </c>
      <c r="M177" s="10" t="inlineStr">
        <is>
          <t>Not checked</t>
        </is>
      </c>
      <c r="N177" s="10" t="inlineStr">
        <is>
          <t>Target</t>
        </is>
      </c>
      <c r="S177" s="14" t="n"/>
      <c r="U177" s="14" t="n"/>
      <c r="X177" s="13" t="inlineStr">
        <is>
          <t>Check it's open before visiting: weak online evidence.</t>
        </is>
      </c>
      <c r="Y177" s="12" t="inlineStr">
        <is>
          <t>https://sofiayorkville.com</t>
        </is>
      </c>
    </row>
    <row r="178">
      <c r="A178" s="10" t="n">
        <v>177</v>
      </c>
      <c r="B178" s="10" t="n">
        <v>1</v>
      </c>
      <c r="C178" s="11" t="inlineStr">
        <is>
          <t>Sushi Masaki Saito</t>
        </is>
      </c>
      <c r="D178" s="10" t="inlineStr">
        <is>
          <t>Yorkville</t>
        </is>
      </c>
      <c r="E178" s="10" t="inlineStr">
        <is>
          <t>Restaurant</t>
        </is>
      </c>
      <c r="F178" s="10" t="inlineStr">
        <is>
          <t>Japanese omakase</t>
        </is>
      </c>
      <c r="G178" s="10" t="inlineStr">
        <is>
          <t>88 Avenue Rd</t>
        </is>
      </c>
      <c r="H178" s="10" t="inlineStr"/>
      <c r="I178" s="10" t="inlineStr"/>
      <c r="J178" s="10" t="inlineStr"/>
      <c r="K178" s="10" t="inlineStr"/>
      <c r="L178" s="13" t="inlineStr">
        <is>
          <t>A Michelin-starred omakase counter, a stretch prospect for a Black tier upgrade.</t>
        </is>
      </c>
      <c r="M178" s="10" t="inlineStr">
        <is>
          <t>Not checked</t>
        </is>
      </c>
      <c r="N178" s="10" t="inlineStr">
        <is>
          <t>Target</t>
        </is>
      </c>
      <c r="S178" s="14" t="n"/>
      <c r="U178" s="14" t="n"/>
      <c r="X178" s="13" t="inlineStr"/>
      <c r="Y178" s="12" t="inlineStr">
        <is>
          <t>https://tastet.ca/en/news/michelin-guide-toronto-2026-all-the-award-winners/</t>
        </is>
      </c>
    </row>
    <row r="179">
      <c r="A179" s="10" t="n">
        <v>178</v>
      </c>
      <c r="B179" s="10" t="n">
        <v>1</v>
      </c>
      <c r="C179" s="11" t="inlineStr">
        <is>
          <t>The Oxley</t>
        </is>
      </c>
      <c r="D179" s="10" t="inlineStr">
        <is>
          <t>Yorkville</t>
        </is>
      </c>
      <c r="E179" s="10" t="inlineStr">
        <is>
          <t>Restaurant</t>
        </is>
      </c>
      <c r="F179" s="10" t="inlineStr">
        <is>
          <t>British gastropub</t>
        </is>
      </c>
      <c r="G179" s="10" t="inlineStr">
        <is>
          <t>121 Yorkville Ave</t>
        </is>
      </c>
      <c r="H179" s="12" t="inlineStr">
        <is>
          <t>https://theoxley.com</t>
        </is>
      </c>
      <c r="I179" s="12" t="inlineStr">
        <is>
          <t>@theoxleyto</t>
        </is>
      </c>
      <c r="J179" s="10" t="inlineStr">
        <is>
          <t>647-348-1300</t>
        </is>
      </c>
      <c r="K179" s="10" t="inlineStr"/>
      <c r="L179" s="13" t="inlineStr">
        <is>
          <t>A relaxed Yorkville dining room good for weeknight dinners and weekend brunch.</t>
        </is>
      </c>
      <c r="M179" s="10" t="inlineStr">
        <is>
          <t>Not checked</t>
        </is>
      </c>
      <c r="N179" s="10" t="inlineStr">
        <is>
          <t>Target</t>
        </is>
      </c>
      <c r="S179" s="14" t="n"/>
      <c r="U179" s="14" t="n"/>
      <c r="X179" s="13" t="inlineStr">
        <is>
          <t>Check it's open before visiting: weak online evidence.</t>
        </is>
      </c>
      <c r="Y179" s="12" t="inlineStr">
        <is>
          <t>https://theoxley.com</t>
        </is>
      </c>
    </row>
    <row r="180">
      <c r="A180" s="10" t="n">
        <v>179</v>
      </c>
      <c r="B180" s="10" t="n">
        <v>1</v>
      </c>
      <c r="C180" s="11" t="inlineStr">
        <is>
          <t>Trattoria Fieramosca</t>
        </is>
      </c>
      <c r="D180" s="10" t="inlineStr">
        <is>
          <t>Yorkville</t>
        </is>
      </c>
      <c r="E180" s="10" t="inlineStr">
        <is>
          <t>Restaurant</t>
        </is>
      </c>
      <c r="F180" s="10" t="inlineStr">
        <is>
          <t>Italian</t>
        </is>
      </c>
      <c r="G180" s="10" t="inlineStr">
        <is>
          <t>36A Prince Arthur Ave</t>
        </is>
      </c>
      <c r="H180" s="12" t="inlineStr">
        <is>
          <t>https://fieramoscatoronto.ca</t>
        </is>
      </c>
      <c r="I180" s="10" t="inlineStr"/>
      <c r="J180" s="10" t="inlineStr">
        <is>
          <t>(416) 323-0636</t>
        </is>
      </c>
      <c r="K180" s="10" t="inlineStr"/>
      <c r="L180" s="13" t="inlineStr">
        <is>
          <t>An old-school Yorkville trattoria with regulars who come back often.</t>
        </is>
      </c>
      <c r="M180" s="10" t="inlineStr">
        <is>
          <t>Not checked</t>
        </is>
      </c>
      <c r="N180" s="10" t="inlineStr">
        <is>
          <t>Target</t>
        </is>
      </c>
      <c r="S180" s="14" t="n"/>
      <c r="U180" s="14" t="n"/>
      <c r="X180" s="13" t="inlineStr"/>
      <c r="Y180" s="12" t="inlineStr">
        <is>
          <t>https://fieramoscatoronto.ca</t>
        </is>
      </c>
    </row>
    <row r="181">
      <c r="A181" s="10" t="n">
        <v>180</v>
      </c>
      <c r="B181" s="10" t="n">
        <v>1</v>
      </c>
      <c r="C181" s="11" t="inlineStr">
        <is>
          <t>Trattoria Nervosa</t>
        </is>
      </c>
      <c r="D181" s="10" t="inlineStr">
        <is>
          <t>Yorkville</t>
        </is>
      </c>
      <c r="E181" s="10" t="inlineStr">
        <is>
          <t>Restaurant</t>
        </is>
      </c>
      <c r="F181" s="10" t="inlineStr">
        <is>
          <t>Southern Italian</t>
        </is>
      </c>
      <c r="G181" s="10" t="inlineStr">
        <is>
          <t>75 Yorkville Ave</t>
        </is>
      </c>
      <c r="H181" s="12" t="inlineStr">
        <is>
          <t>https://www.eatnervosa.com</t>
        </is>
      </c>
      <c r="I181" s="12" t="inlineStr">
        <is>
          <t>@nervosato</t>
        </is>
      </c>
      <c r="J181" s="10" t="inlineStr"/>
      <c r="K181" s="10" t="inlineStr">
        <is>
          <t>$$</t>
        </is>
      </c>
      <c r="L181" s="13" t="inlineStr">
        <is>
          <t>A neighbourhood favourite since 1996 with an easy lunch and dinner crowd.</t>
        </is>
      </c>
      <c r="M181" s="10" t="inlineStr">
        <is>
          <t>Not checked</t>
        </is>
      </c>
      <c r="N181" s="10" t="inlineStr">
        <is>
          <t>Target</t>
        </is>
      </c>
      <c r="S181" s="14" t="n"/>
      <c r="U181" s="14" t="n"/>
      <c r="X181" s="13" t="inlineStr"/>
      <c r="Y181" s="12" t="inlineStr">
        <is>
          <t>https://opentable.com/r/trattoria-nervosa-toronto</t>
        </is>
      </c>
    </row>
    <row r="182">
      <c r="A182" s="10" t="n">
        <v>181</v>
      </c>
      <c r="B182" s="10" t="n">
        <v>1</v>
      </c>
      <c r="C182" s="11" t="inlineStr">
        <is>
          <t>Yakitori Momiji</t>
        </is>
      </c>
      <c r="D182" s="10" t="inlineStr">
        <is>
          <t>Yorkville</t>
        </is>
      </c>
      <c r="E182" s="10" t="inlineStr">
        <is>
          <t>Restaurant</t>
        </is>
      </c>
      <c r="F182" s="10" t="inlineStr">
        <is>
          <t>Japanese yakitori omakase</t>
        </is>
      </c>
      <c r="G182" s="10" t="inlineStr">
        <is>
          <t>156 Cumberland St, 2nd floor</t>
        </is>
      </c>
      <c r="H182" s="10" t="inlineStr"/>
      <c r="I182" s="10" t="inlineStr"/>
      <c r="J182" s="10" t="inlineStr"/>
      <c r="K182" s="10" t="inlineStr"/>
      <c r="L182" s="13" t="inlineStr">
        <is>
          <t>A new omakase counter that suits a Black tier experience.</t>
        </is>
      </c>
      <c r="M182" s="10" t="inlineStr">
        <is>
          <t>Not checked</t>
        </is>
      </c>
      <c r="N182" s="10" t="inlineStr">
        <is>
          <t>Target</t>
        </is>
      </c>
      <c r="S182" s="14" t="n"/>
      <c r="U182" s="14" t="n"/>
      <c r="X182" s="13" t="inlineStr">
        <is>
          <t>Check it's open before visiting: weak online evidence.</t>
        </is>
      </c>
      <c r="Y182" s="12" t="inlineStr">
        <is>
          <t>https://www.stephaniedickison.com/articles/open-closed-toronto-gta-restaurant-news-october-1-7-2026</t>
        </is>
      </c>
    </row>
    <row r="183">
      <c r="A183" s="10" t="n">
        <v>182</v>
      </c>
      <c r="B183" s="10" t="n">
        <v>1</v>
      </c>
      <c r="C183" s="11" t="inlineStr">
        <is>
          <t>Mom's Recipes</t>
        </is>
      </c>
      <c r="D183" s="10" t="inlineStr">
        <is>
          <t>Yorkville</t>
        </is>
      </c>
      <c r="E183" s="10" t="inlineStr">
        <is>
          <t>Brunch</t>
        </is>
      </c>
      <c r="F183" s="10" t="inlineStr">
        <is>
          <t>Ukrainian breakfast</t>
        </is>
      </c>
      <c r="G183" s="10" t="inlineStr">
        <is>
          <t>136 Avenue Rd</t>
        </is>
      </c>
      <c r="H183" s="10" t="inlineStr"/>
      <c r="I183" s="10" t="inlineStr"/>
      <c r="J183" s="10" t="inlineStr"/>
      <c r="K183" s="10" t="inlineStr"/>
      <c r="L183" s="13" t="inlineStr">
        <is>
          <t>A new breakfast spot where Yorkville, the Annex and Rosedale meet.</t>
        </is>
      </c>
      <c r="M183" s="10" t="inlineStr">
        <is>
          <t>Not checked</t>
        </is>
      </c>
      <c r="N183" s="10" t="inlineStr">
        <is>
          <t>Target</t>
        </is>
      </c>
      <c r="S183" s="14" t="n"/>
      <c r="U183" s="14" t="n"/>
      <c r="X183" s="13" t="inlineStr">
        <is>
          <t>Check it's open before visiting: weak online evidence.</t>
        </is>
      </c>
      <c r="Y183" s="12" t="inlineStr">
        <is>
          <t>https://www.blogto.com/eat_drink/2026/05/moms-recipes-restaurant-toronto/</t>
        </is>
      </c>
    </row>
    <row r="184">
      <c r="A184" s="10" t="n">
        <v>183</v>
      </c>
      <c r="B184" s="10" t="n">
        <v>1</v>
      </c>
      <c r="C184" s="11" t="inlineStr">
        <is>
          <t>Cafe Rosarium</t>
        </is>
      </c>
      <c r="D184" s="10" t="inlineStr">
        <is>
          <t>Yorkville</t>
        </is>
      </c>
      <c r="E184" s="10" t="inlineStr">
        <is>
          <t>Café</t>
        </is>
      </c>
      <c r="F184" s="10" t="inlineStr">
        <is>
          <t>Café, pastries</t>
        </is>
      </c>
      <c r="G184" s="10" t="inlineStr">
        <is>
          <t>878 Yonge St (at Scollard)</t>
        </is>
      </c>
      <c r="H184" s="10" t="inlineStr"/>
      <c r="I184" s="10" t="inlineStr"/>
      <c r="J184" s="10" t="inlineStr"/>
      <c r="K184" s="10" t="inlineStr"/>
      <c r="L184" s="13" t="inlineStr">
        <is>
          <t>A new flower-shop café that fits a calm daytime coffee-for-two offer.</t>
        </is>
      </c>
      <c r="M184" s="10" t="inlineStr">
        <is>
          <t>Not checked</t>
        </is>
      </c>
      <c r="N184" s="10" t="inlineStr">
        <is>
          <t>Target</t>
        </is>
      </c>
      <c r="S184" s="14" t="n"/>
      <c r="U184" s="14" t="n"/>
      <c r="X184" s="13" t="inlineStr">
        <is>
          <t>Check it's open before visiting: weak online evidence.</t>
        </is>
      </c>
      <c r="Y184" s="12" t="inlineStr">
        <is>
          <t>https://www.blogto.com/cafes/cafe-rosarium-toronto/</t>
        </is>
      </c>
    </row>
    <row r="185">
      <c r="A185" s="10" t="n">
        <v>184</v>
      </c>
      <c r="B185" s="10" t="n">
        <v>1</v>
      </c>
      <c r="C185" s="11" t="inlineStr">
        <is>
          <t>Dessert Lady Cafe and Bakery</t>
        </is>
      </c>
      <c r="D185" s="10" t="inlineStr">
        <is>
          <t>Yorkville</t>
        </is>
      </c>
      <c r="E185" s="10" t="inlineStr">
        <is>
          <t>Café</t>
        </is>
      </c>
      <c r="F185" s="10" t="inlineStr">
        <is>
          <t>Bakery, desserts</t>
        </is>
      </c>
      <c r="G185" s="10" t="inlineStr">
        <is>
          <t>1 Sultan St</t>
        </is>
      </c>
      <c r="H185" s="12" t="inlineStr">
        <is>
          <t>https://dessertlady.ca</t>
        </is>
      </c>
      <c r="I185" s="10" t="inlineStr"/>
      <c r="J185" s="10" t="inlineStr">
        <is>
          <t>416-513-1118</t>
        </is>
      </c>
      <c r="K185" s="10" t="inlineStr"/>
      <c r="L185" s="13" t="inlineStr">
        <is>
          <t>A cake and coffee stop that suits a second-slice or bring-a-friend offer.</t>
        </is>
      </c>
      <c r="M185" s="10" t="inlineStr">
        <is>
          <t>Not checked</t>
        </is>
      </c>
      <c r="N185" s="10" t="inlineStr">
        <is>
          <t>Target</t>
        </is>
      </c>
      <c r="S185" s="14" t="n"/>
      <c r="U185" s="14" t="n"/>
      <c r="X185" s="13" t="inlineStr"/>
      <c r="Y185" s="12" t="inlineStr">
        <is>
          <t>https://www.dessertlady.ca/contact</t>
        </is>
      </c>
    </row>
    <row r="186">
      <c r="A186" s="10" t="n">
        <v>185</v>
      </c>
      <c r="B186" s="10" t="n">
        <v>1</v>
      </c>
      <c r="C186" s="11" t="inlineStr">
        <is>
          <t>Gilla Salon &amp; Spa</t>
        </is>
      </c>
      <c r="D186" s="10" t="inlineStr">
        <is>
          <t>Yorkville</t>
        </is>
      </c>
      <c r="E186" s="10" t="inlineStr">
        <is>
          <t>Spa</t>
        </is>
      </c>
      <c r="F186" s="10" t="inlineStr">
        <is>
          <t>Salon and day spa</t>
        </is>
      </c>
      <c r="G186" s="10" t="inlineStr">
        <is>
          <t>76 Scollard St</t>
        </is>
      </c>
      <c r="H186" s="12" t="inlineStr">
        <is>
          <t>https://www.gillasalonandspa.com/</t>
        </is>
      </c>
      <c r="I186" s="12" t="inlineStr">
        <is>
          <t>@gillaspa</t>
        </is>
      </c>
      <c r="J186" s="10" t="inlineStr">
        <is>
          <t>416-927-0007</t>
        </is>
      </c>
      <c r="K186" s="10" t="inlineStr"/>
      <c r="L186" s="13" t="inlineStr">
        <is>
          <t>Free upgrade on a facial or massage, weekdays.</t>
        </is>
      </c>
      <c r="M186" s="10" t="inlineStr">
        <is>
          <t>Not checked</t>
        </is>
      </c>
      <c r="N186" s="10" t="inlineStr">
        <is>
          <t>Target</t>
        </is>
      </c>
      <c r="S186" s="14" t="n"/>
      <c r="U186" s="14" t="n"/>
      <c r="X186" s="13" t="inlineStr"/>
      <c r="Y186" s="12" t="inlineStr">
        <is>
          <t>https://www.gillasalonandspa.com/</t>
        </is>
      </c>
    </row>
    <row r="187">
      <c r="A187" s="10" t="n">
        <v>186</v>
      </c>
      <c r="B187" s="10" t="n">
        <v>1</v>
      </c>
      <c r="C187" s="11" t="inlineStr">
        <is>
          <t>Othership Yorkville</t>
        </is>
      </c>
      <c r="D187" s="10" t="inlineStr">
        <is>
          <t>Yorkville</t>
        </is>
      </c>
      <c r="E187" s="10" t="inlineStr">
        <is>
          <t>Spa</t>
        </is>
      </c>
      <c r="F187" s="10" t="inlineStr">
        <is>
          <t>Bathhouse (sauna and ice bath)</t>
        </is>
      </c>
      <c r="G187" s="10" t="inlineStr">
        <is>
          <t>110 Bloor St W</t>
        </is>
      </c>
      <c r="H187" s="12" t="inlineStr">
        <is>
          <t>https://www.othership.us/yorkville</t>
        </is>
      </c>
      <c r="I187" s="12" t="inlineStr">
        <is>
          <t>@othership</t>
        </is>
      </c>
      <c r="J187" s="10" t="inlineStr">
        <is>
          <t>416-922-2547</t>
        </is>
      </c>
      <c r="K187" s="10" t="inlineStr"/>
      <c r="L187" s="13" t="inlineStr">
        <is>
          <t>Bring a friend to a guided sauna session free, off-peak.</t>
        </is>
      </c>
      <c r="M187" s="10" t="inlineStr">
        <is>
          <t>Not checked</t>
        </is>
      </c>
      <c r="N187" s="10" t="inlineStr">
        <is>
          <t>Target</t>
        </is>
      </c>
      <c r="S187" s="14" t="n"/>
      <c r="U187" s="14" t="n"/>
      <c r="X187" s="13" t="inlineStr"/>
      <c r="Y187" s="12" t="inlineStr">
        <is>
          <t>https://curiocity.com/toronto-wellness-studios-ontario/</t>
        </is>
      </c>
    </row>
    <row r="188">
      <c r="A188" s="10" t="n">
        <v>187</v>
      </c>
      <c r="B188" s="10" t="n">
        <v>1</v>
      </c>
      <c r="C188" s="11" t="inlineStr">
        <is>
          <t>Sous La Face</t>
        </is>
      </c>
      <c r="D188" s="10" t="inlineStr">
        <is>
          <t>Yorkville</t>
        </is>
      </c>
      <c r="E188" s="10" t="inlineStr">
        <is>
          <t>Spa</t>
        </is>
      </c>
      <c r="F188" s="10" t="inlineStr">
        <is>
          <t>Facial and contouring studio</t>
        </is>
      </c>
      <c r="G188" s="10" t="inlineStr">
        <is>
          <t>110 Scollard St</t>
        </is>
      </c>
      <c r="H188" s="12" t="inlineStr">
        <is>
          <t>https://souslaface.com/</t>
        </is>
      </c>
      <c r="I188" s="12" t="inlineStr">
        <is>
          <t>@souslaface</t>
        </is>
      </c>
      <c r="J188" s="10" t="inlineStr">
        <is>
          <t>416-901-2340</t>
        </is>
      </c>
      <c r="K188" s="10" t="inlineStr"/>
      <c r="L188" s="13" t="inlineStr">
        <is>
          <t>Free add-on with a signature facial treatment.</t>
        </is>
      </c>
      <c r="M188" s="10" t="inlineStr">
        <is>
          <t>Not checked</t>
        </is>
      </c>
      <c r="N188" s="10" t="inlineStr">
        <is>
          <t>Target</t>
        </is>
      </c>
      <c r="S188" s="14" t="n"/>
      <c r="U188" s="14" t="n"/>
      <c r="X188" s="13" t="inlineStr"/>
      <c r="Y188" s="12" t="inlineStr">
        <is>
          <t>https://souslaface.com/</t>
        </is>
      </c>
    </row>
    <row r="189">
      <c r="A189" s="10" t="n">
        <v>188</v>
      </c>
      <c r="B189" s="10" t="n">
        <v>1</v>
      </c>
      <c r="C189" s="11" t="inlineStr">
        <is>
          <t>The FIX Facial Bar</t>
        </is>
      </c>
      <c r="D189" s="10" t="inlineStr">
        <is>
          <t>Yorkville</t>
        </is>
      </c>
      <c r="E189" s="10" t="inlineStr">
        <is>
          <t>Spa</t>
        </is>
      </c>
      <c r="F189" s="10" t="inlineStr">
        <is>
          <t>Facial bar</t>
        </is>
      </c>
      <c r="G189" s="10" t="inlineStr">
        <is>
          <t>2 Bernard Ave, Unit 1</t>
        </is>
      </c>
      <c r="H189" s="12" t="inlineStr">
        <is>
          <t>https://thefixfacialbar.com/</t>
        </is>
      </c>
      <c r="I189" s="12" t="inlineStr">
        <is>
          <t>@thefixfacialbar</t>
        </is>
      </c>
      <c r="J189" s="10" t="inlineStr"/>
      <c r="K189" s="10" t="inlineStr"/>
      <c r="L189" s="13" t="inlineStr">
        <is>
          <t>Free mask or LED upgrade with a facial.</t>
        </is>
      </c>
      <c r="M189" s="10" t="inlineStr">
        <is>
          <t>Not checked</t>
        </is>
      </c>
      <c r="N189" s="10" t="inlineStr">
        <is>
          <t>Target</t>
        </is>
      </c>
      <c r="S189" s="14" t="n"/>
      <c r="U189" s="14" t="n"/>
      <c r="X189" s="13" t="inlineStr"/>
      <c r="Y189" s="12" t="inlineStr">
        <is>
          <t>https://curiocity.com/toronto-spas-massages-facials/</t>
        </is>
      </c>
    </row>
    <row r="190">
      <c r="A190" s="10" t="n">
        <v>189</v>
      </c>
      <c r="B190" s="10" t="n">
        <v>1</v>
      </c>
      <c r="C190" s="11" t="inlineStr">
        <is>
          <t>IAM Yoga</t>
        </is>
      </c>
      <c r="D190" s="10" t="inlineStr">
        <is>
          <t>Yorkville</t>
        </is>
      </c>
      <c r="E190" s="10" t="inlineStr">
        <is>
          <t>Studio</t>
        </is>
      </c>
      <c r="F190" s="10" t="inlineStr">
        <is>
          <t>Yoga and pilates</t>
        </is>
      </c>
      <c r="G190" s="10" t="inlineStr">
        <is>
          <t>680 Yonge St</t>
        </is>
      </c>
      <c r="H190" s="12" t="inlineStr">
        <is>
          <t>https://iamyoga.ca/</t>
        </is>
      </c>
      <c r="I190" s="12" t="inlineStr">
        <is>
          <t>@iamyogapilates</t>
        </is>
      </c>
      <c r="J190" s="10" t="inlineStr">
        <is>
          <t>416-551-0068</t>
        </is>
      </c>
      <c r="K190" s="10" t="inlineStr"/>
      <c r="L190" s="13" t="inlineStr">
        <is>
          <t>Bring a friend to class free.</t>
        </is>
      </c>
      <c r="M190" s="10" t="inlineStr">
        <is>
          <t>Not checked</t>
        </is>
      </c>
      <c r="N190" s="10" t="inlineStr">
        <is>
          <t>Target</t>
        </is>
      </c>
      <c r="S190" s="14" t="n"/>
      <c r="U190" s="14" t="n"/>
      <c r="X190" s="13" t="inlineStr"/>
      <c r="Y190" s="12" t="inlineStr">
        <is>
          <t>https://iamyoga.ca/</t>
        </is>
      </c>
    </row>
    <row r="191">
      <c r="A191" s="10" t="n">
        <v>190</v>
      </c>
      <c r="B191" s="10" t="n">
        <v>1</v>
      </c>
      <c r="C191" s="11" t="inlineStr">
        <is>
          <t>Mindful Movement Centre</t>
        </is>
      </c>
      <c r="D191" s="10" t="inlineStr">
        <is>
          <t>Yorkville</t>
        </is>
      </c>
      <c r="E191" s="10" t="inlineStr">
        <is>
          <t>Studio</t>
        </is>
      </c>
      <c r="F191" s="10" t="inlineStr">
        <is>
          <t>Pilates (reformer and mat)</t>
        </is>
      </c>
      <c r="G191" s="10" t="inlineStr">
        <is>
          <t>68 Scollard St, #301</t>
        </is>
      </c>
      <c r="H191" s="12" t="inlineStr">
        <is>
          <t>https://www.mindfulmovementcentre.com/</t>
        </is>
      </c>
      <c r="I191" s="12" t="inlineStr">
        <is>
          <t>@mindfulmovementcentre</t>
        </is>
      </c>
      <c r="J191" s="10" t="inlineStr"/>
      <c r="K191" s="10" t="inlineStr"/>
      <c r="L191" s="13" t="inlineStr">
        <is>
          <t>Bring a friend to a mat or reformer class free.</t>
        </is>
      </c>
      <c r="M191" s="10" t="inlineStr">
        <is>
          <t>Not checked</t>
        </is>
      </c>
      <c r="N191" s="10" t="inlineStr">
        <is>
          <t>Target</t>
        </is>
      </c>
      <c r="S191" s="14" t="n"/>
      <c r="U191" s="14" t="n"/>
      <c r="X191" s="13" t="inlineStr"/>
      <c r="Y191" s="12" t="inlineStr">
        <is>
          <t>https://www.mindfulmovementcentre.com/</t>
        </is>
      </c>
    </row>
    <row r="192">
      <c r="A192" s="10" t="n">
        <v>191</v>
      </c>
      <c r="B192" s="10" t="n">
        <v>1</v>
      </c>
      <c r="C192" s="11" t="inlineStr">
        <is>
          <t>Sweat and Tonic (Yorkville)</t>
        </is>
      </c>
      <c r="D192" s="10" t="inlineStr">
        <is>
          <t>Yorkville</t>
        </is>
      </c>
      <c r="E192" s="10" t="inlineStr">
        <is>
          <t>Studio</t>
        </is>
      </c>
      <c r="F192" s="10" t="inlineStr">
        <is>
          <t>Multi-format fitness and Lagree</t>
        </is>
      </c>
      <c r="G192" s="10" t="inlineStr">
        <is>
          <t>11 Yorkville Ave</t>
        </is>
      </c>
      <c r="H192" s="12" t="inlineStr">
        <is>
          <t>https://sweatandtonic.com/</t>
        </is>
      </c>
      <c r="I192" s="12" t="inlineStr">
        <is>
          <t>@sweatandtonic</t>
        </is>
      </c>
      <c r="J192" s="10" t="inlineStr"/>
      <c r="K192" s="10" t="inlineStr"/>
      <c r="L192" s="13" t="inlineStr">
        <is>
          <t>Bring a friend to a class free once the new club settles in.</t>
        </is>
      </c>
      <c r="M192" s="10" t="inlineStr">
        <is>
          <t>Not checked</t>
        </is>
      </c>
      <c r="N192" s="10" t="inlineStr">
        <is>
          <t>Target</t>
        </is>
      </c>
      <c r="S192" s="14" t="n"/>
      <c r="U192" s="14" t="n"/>
      <c r="X192" s="13" t="inlineStr"/>
      <c r="Y192" s="12" t="inlineStr">
        <is>
          <t>https://curiocity.com/sweat-and-tonic-yorkville-toronto-opening/</t>
        </is>
      </c>
    </row>
    <row r="193">
      <c r="A193" s="10" t="n">
        <v>192</v>
      </c>
      <c r="B193" s="10" t="n">
        <v>1</v>
      </c>
      <c r="C193" s="11" t="inlineStr">
        <is>
          <t>Spa at Four Seasons Hotel Toronto</t>
        </is>
      </c>
      <c r="D193" s="10" t="inlineStr">
        <is>
          <t>Yorkville</t>
        </is>
      </c>
      <c r="E193" s="10" t="inlineStr">
        <is>
          <t>Hotel restaurant or spa</t>
        </is>
      </c>
      <c r="F193" s="10" t="inlineStr">
        <is>
          <t>Hotel spa</t>
        </is>
      </c>
      <c r="G193" s="10" t="inlineStr">
        <is>
          <t>60 Yorkville Ave</t>
        </is>
      </c>
      <c r="H193" s="12" t="inlineStr">
        <is>
          <t>https://www.fourseasons.com/toronto/spa/</t>
        </is>
      </c>
      <c r="I193" s="10" t="inlineStr"/>
      <c r="J193" s="10" t="inlineStr"/>
      <c r="K193" s="10" t="inlineStr"/>
      <c r="L193" s="13" t="inlineStr">
        <is>
          <t>Free add-on with a massage or facial, weekdays.</t>
        </is>
      </c>
      <c r="M193" s="10" t="inlineStr">
        <is>
          <t>Not checked</t>
        </is>
      </c>
      <c r="N193" s="10" t="inlineStr">
        <is>
          <t>Target</t>
        </is>
      </c>
      <c r="S193" s="14" t="n"/>
      <c r="U193" s="14" t="n"/>
      <c r="X193" s="13" t="inlineStr"/>
      <c r="Y193" s="12" t="inlineStr">
        <is>
          <t>https://curiocity.com/best-spas-toronto-city-escape/</t>
        </is>
      </c>
    </row>
    <row r="194">
      <c r="A194" s="10" t="n">
        <v>193</v>
      </c>
      <c r="B194" s="10" t="n">
        <v>1</v>
      </c>
      <c r="C194" s="11" t="inlineStr">
        <is>
          <t>Stillwater Spa at Park Hyatt Toronto</t>
        </is>
      </c>
      <c r="D194" s="10" t="inlineStr">
        <is>
          <t>Yorkville</t>
        </is>
      </c>
      <c r="E194" s="10" t="inlineStr">
        <is>
          <t>Hotel restaurant or spa</t>
        </is>
      </c>
      <c r="F194" s="10" t="inlineStr">
        <is>
          <t>Hotel spa</t>
        </is>
      </c>
      <c r="G194" s="10" t="inlineStr">
        <is>
          <t>4 Avenue Rd</t>
        </is>
      </c>
      <c r="H194" s="12" t="inlineStr">
        <is>
          <t>https://www.hyatt.com/en-US/spas/Stillwater-Spa-Toronto/home</t>
        </is>
      </c>
      <c r="I194" s="10" t="inlineStr"/>
      <c r="J194" s="10" t="inlineStr"/>
      <c r="K194" s="10" t="inlineStr"/>
      <c r="L194" s="13" t="inlineStr">
        <is>
          <t>Free add-on with a 60 minute massage or facial.</t>
        </is>
      </c>
      <c r="M194" s="10" t="inlineStr">
        <is>
          <t>Not checked</t>
        </is>
      </c>
      <c r="N194" s="10" t="inlineStr">
        <is>
          <t>Target</t>
        </is>
      </c>
      <c r="S194" s="14" t="n"/>
      <c r="U194" s="14" t="n"/>
      <c r="X194" s="13" t="inlineStr">
        <is>
          <t>Check it's open before visiting: weak online evidence.</t>
        </is>
      </c>
      <c r="Y194" s="12" t="inlineStr">
        <is>
          <t>https://www.hyatt.com/en-US/spas/Stillwater-Spa-Toronto/home</t>
        </is>
      </c>
    </row>
    <row r="195">
      <c r="A195" s="10" t="n">
        <v>194</v>
      </c>
      <c r="B195" s="10" t="n">
        <v>1</v>
      </c>
      <c r="C195" s="11" t="inlineStr">
        <is>
          <t>The Hazelton Hotel (ONE Restaurant and Spa by Valmont)</t>
        </is>
      </c>
      <c r="D195" s="10" t="inlineStr">
        <is>
          <t>Yorkville</t>
        </is>
      </c>
      <c r="E195" s="10" t="inlineStr">
        <is>
          <t>Hotel restaurant or spa</t>
        </is>
      </c>
      <c r="F195" s="10" t="inlineStr">
        <is>
          <t>Hotel restaurant and spa</t>
        </is>
      </c>
      <c r="G195" s="10" t="inlineStr">
        <is>
          <t>118 Yorkville Ave</t>
        </is>
      </c>
      <c r="H195" s="12" t="inlineStr">
        <is>
          <t>https://www.thehazeltonhotel.com/</t>
        </is>
      </c>
      <c r="I195" s="12" t="inlineStr">
        <is>
          <t>@hazeltonTO</t>
        </is>
      </c>
      <c r="J195" s="10" t="inlineStr">
        <is>
          <t>416-961-9600</t>
        </is>
      </c>
      <c r="K195" s="10" t="inlineStr"/>
      <c r="L195" s="13" t="inlineStr">
        <is>
          <t>Free dessert or second lunch main at ONE, or a spa add-on.</t>
        </is>
      </c>
      <c r="M195" s="10" t="inlineStr">
        <is>
          <t>Not checked</t>
        </is>
      </c>
      <c r="N195" s="10" t="inlineStr">
        <is>
          <t>Target</t>
        </is>
      </c>
      <c r="S195" s="14" t="n"/>
      <c r="U195" s="14" t="n"/>
      <c r="X195" s="13" t="inlineStr"/>
      <c r="Y195" s="12" t="inlineStr">
        <is>
          <t>https://www.thehazeltonhotel.com/</t>
        </is>
      </c>
    </row>
    <row r="196">
      <c r="A196" s="10" t="n">
        <v>195</v>
      </c>
      <c r="B196" s="10" t="n">
        <v>1</v>
      </c>
      <c r="C196" s="11" t="inlineStr">
        <is>
          <t>Windsor Arms Hotel (The Gatsby and spa)</t>
        </is>
      </c>
      <c r="D196" s="10" t="inlineStr">
        <is>
          <t>Yorkville</t>
        </is>
      </c>
      <c r="E196" s="10" t="inlineStr">
        <is>
          <t>Hotel restaurant or spa</t>
        </is>
      </c>
      <c r="F196" s="10" t="inlineStr">
        <is>
          <t>Hotel restaurant and spa</t>
        </is>
      </c>
      <c r="G196" s="10" t="inlineStr">
        <is>
          <t>18 St. Thomas St</t>
        </is>
      </c>
      <c r="H196" s="12" t="inlineStr">
        <is>
          <t>https://windsorarmshotel.com/</t>
        </is>
      </c>
      <c r="I196" s="12" t="inlineStr">
        <is>
          <t>@windsorarms</t>
        </is>
      </c>
      <c r="J196" s="10" t="inlineStr">
        <is>
          <t>416-971-9666</t>
        </is>
      </c>
      <c r="K196" s="10" t="inlineStr"/>
      <c r="L196" s="13" t="inlineStr">
        <is>
          <t>Second lunch main or a free spa add-on.</t>
        </is>
      </c>
      <c r="M196" s="10" t="inlineStr">
        <is>
          <t>Not checked</t>
        </is>
      </c>
      <c r="N196" s="10" t="inlineStr">
        <is>
          <t>Target</t>
        </is>
      </c>
      <c r="S196" s="14" t="n"/>
      <c r="U196" s="14" t="n"/>
      <c r="X196" s="13" t="inlineStr"/>
      <c r="Y196" s="12" t="inlineStr">
        <is>
          <t>https://windsorarmshotel.com/</t>
        </is>
      </c>
    </row>
    <row r="197">
      <c r="A197" s="10" t="n">
        <v>196</v>
      </c>
      <c r="B197" s="10" t="n">
        <v>1</v>
      </c>
      <c r="C197" s="11" t="inlineStr">
        <is>
          <t>Aroi Thai</t>
        </is>
      </c>
      <c r="D197" s="10" t="inlineStr">
        <is>
          <t>Leslieville</t>
        </is>
      </c>
      <c r="E197" s="10" t="inlineStr">
        <is>
          <t>Restaurant</t>
        </is>
      </c>
      <c r="F197" s="10" t="inlineStr">
        <is>
          <t>Thai</t>
        </is>
      </c>
      <c r="G197" s="10" t="inlineStr">
        <is>
          <t>1216 Queen St E</t>
        </is>
      </c>
      <c r="H197" s="10" t="inlineStr"/>
      <c r="I197" s="10" t="inlineStr"/>
      <c r="J197" s="10" t="inlineStr"/>
      <c r="K197" s="10" t="inlineStr"/>
      <c r="L197" s="13" t="inlineStr">
        <is>
          <t>A new mid-priced Thai room at Queen and Leslie with a striking interior.</t>
        </is>
      </c>
      <c r="M197" s="10" t="inlineStr">
        <is>
          <t>Not checked</t>
        </is>
      </c>
      <c r="N197" s="10" t="inlineStr">
        <is>
          <t>Target</t>
        </is>
      </c>
      <c r="S197" s="14" t="n"/>
      <c r="U197" s="14" t="n"/>
      <c r="X197" s="13" t="inlineStr">
        <is>
          <t>Check it's open before visiting: weak online evidence.</t>
        </is>
      </c>
      <c r="Y197" s="12" t="inlineStr">
        <is>
          <t>https://tastetoronto.substack.com/p/punch-opens-two-thai-spots-land-queen</t>
        </is>
      </c>
    </row>
    <row r="198">
      <c r="A198" s="10" t="n">
        <v>197</v>
      </c>
      <c r="B198" s="10" t="n">
        <v>1</v>
      </c>
      <c r="C198" s="11" t="inlineStr">
        <is>
          <t>Avling</t>
        </is>
      </c>
      <c r="D198" s="10" t="inlineStr">
        <is>
          <t>Leslieville</t>
        </is>
      </c>
      <c r="E198" s="10" t="inlineStr">
        <is>
          <t>Restaurant</t>
        </is>
      </c>
      <c r="F198" s="10" t="inlineStr">
        <is>
          <t>Farm-to-table</t>
        </is>
      </c>
      <c r="G198" s="10" t="inlineStr">
        <is>
          <t>1042 Queen St E</t>
        </is>
      </c>
      <c r="H198" s="12" t="inlineStr">
        <is>
          <t>https://avling.ca</t>
        </is>
      </c>
      <c r="I198" s="12" t="inlineStr">
        <is>
          <t>@avlingto</t>
        </is>
      </c>
      <c r="J198" s="10" t="inlineStr">
        <is>
          <t>(416) 469-1010</t>
        </is>
      </c>
      <c r="K198" s="10" t="inlineStr"/>
      <c r="L198" s="13" t="inlineStr">
        <is>
          <t>A seasonal kitchen with weekend brunch; any offer would be food only.</t>
        </is>
      </c>
      <c r="M198" s="10" t="inlineStr">
        <is>
          <t>Not checked</t>
        </is>
      </c>
      <c r="N198" s="10" t="inlineStr">
        <is>
          <t>Target</t>
        </is>
      </c>
      <c r="S198" s="14" t="n"/>
      <c r="U198" s="14" t="n"/>
      <c r="X198" s="13" t="inlineStr"/>
      <c r="Y198" s="12" t="inlineStr">
        <is>
          <t>https://avling.ca</t>
        </is>
      </c>
    </row>
    <row r="199">
      <c r="A199" s="10" t="n">
        <v>198</v>
      </c>
      <c r="B199" s="10" t="n">
        <v>1</v>
      </c>
      <c r="C199" s="11" t="inlineStr">
        <is>
          <t>Corduroy Lounge</t>
        </is>
      </c>
      <c r="D199" s="10" t="inlineStr">
        <is>
          <t>Leslieville</t>
        </is>
      </c>
      <c r="E199" s="10" t="inlineStr">
        <is>
          <t>Restaurant</t>
        </is>
      </c>
      <c r="F199" s="10" t="inlineStr">
        <is>
          <t>British pub fare</t>
        </is>
      </c>
      <c r="G199" s="10" t="inlineStr">
        <is>
          <t>1012 Queen St E</t>
        </is>
      </c>
      <c r="H199" s="10" t="inlineStr"/>
      <c r="I199" s="10" t="inlineStr"/>
      <c r="J199" s="10" t="inlineStr"/>
      <c r="K199" s="10" t="inlineStr"/>
      <c r="L199" s="13" t="inlineStr">
        <is>
          <t>A cozy new room with a short menu and Sunday specials.</t>
        </is>
      </c>
      <c r="M199" s="10" t="inlineStr">
        <is>
          <t>Not checked</t>
        </is>
      </c>
      <c r="N199" s="10" t="inlineStr">
        <is>
          <t>Target</t>
        </is>
      </c>
      <c r="S199" s="14" t="n"/>
      <c r="U199" s="14" t="n"/>
      <c r="X199" s="13" t="inlineStr"/>
      <c r="Y199" s="12" t="inlineStr">
        <is>
          <t>https://www.blogto.com/eat_drink/2025/12/corduroy-lounge-toronto</t>
        </is>
      </c>
    </row>
    <row r="200">
      <c r="A200" s="10" t="n">
        <v>199</v>
      </c>
      <c r="B200" s="10" t="n">
        <v>1</v>
      </c>
      <c r="C200" s="11" t="inlineStr">
        <is>
          <t>Descendant Detroit Style Pizza</t>
        </is>
      </c>
      <c r="D200" s="10" t="inlineStr">
        <is>
          <t>Leslieville</t>
        </is>
      </c>
      <c r="E200" s="10" t="inlineStr">
        <is>
          <t>Restaurant</t>
        </is>
      </c>
      <c r="F200" s="10" t="inlineStr">
        <is>
          <t>Pizza</t>
        </is>
      </c>
      <c r="G200" s="10" t="inlineStr">
        <is>
          <t>1168 Queen St E</t>
        </is>
      </c>
      <c r="H200" s="12" t="inlineStr">
        <is>
          <t>https://descendantdsp.com</t>
        </is>
      </c>
      <c r="I200" s="12" t="inlineStr">
        <is>
          <t>@descendant_pizza</t>
        </is>
      </c>
      <c r="J200" s="10" t="inlineStr">
        <is>
          <t>647-347-1168</t>
        </is>
      </c>
      <c r="K200" s="10" t="inlineStr"/>
      <c r="L200" s="13" t="inlineStr">
        <is>
          <t>An award-winning pizza spot with a small dining room, easy for two.</t>
        </is>
      </c>
      <c r="M200" s="10" t="inlineStr">
        <is>
          <t>Not checked</t>
        </is>
      </c>
      <c r="N200" s="10" t="inlineStr">
        <is>
          <t>Target</t>
        </is>
      </c>
      <c r="S200" s="14" t="n"/>
      <c r="U200" s="14" t="n"/>
      <c r="X200" s="13" t="inlineStr"/>
      <c r="Y200" s="12" t="inlineStr">
        <is>
          <t>https://descendantdsp.com</t>
        </is>
      </c>
    </row>
    <row r="201">
      <c r="A201" s="10" t="n">
        <v>200</v>
      </c>
      <c r="B201" s="10" t="n">
        <v>1</v>
      </c>
      <c r="C201" s="11" t="inlineStr">
        <is>
          <t>Eastside Social</t>
        </is>
      </c>
      <c r="D201" s="10" t="inlineStr">
        <is>
          <t>Leslieville</t>
        </is>
      </c>
      <c r="E201" s="10" t="inlineStr">
        <is>
          <t>Restaurant</t>
        </is>
      </c>
      <c r="F201" s="10" t="inlineStr">
        <is>
          <t>Seafood</t>
        </is>
      </c>
      <c r="G201" s="10" t="inlineStr">
        <is>
          <t>1008 Queen St E</t>
        </is>
      </c>
      <c r="H201" s="12" t="inlineStr">
        <is>
          <t>https://eastsidesocial.ca</t>
        </is>
      </c>
      <c r="I201" s="12" t="inlineStr">
        <is>
          <t>@eastside_social</t>
        </is>
      </c>
      <c r="J201" s="10" t="inlineStr">
        <is>
          <t>416-461-5663</t>
        </is>
      </c>
      <c r="K201" s="10" t="inlineStr"/>
      <c r="L201" s="13" t="inlineStr">
        <is>
          <t>A seafood room with a dining side, good for a second-main offer.</t>
        </is>
      </c>
      <c r="M201" s="10" t="inlineStr">
        <is>
          <t>Not checked</t>
        </is>
      </c>
      <c r="N201" s="10" t="inlineStr">
        <is>
          <t>Target</t>
        </is>
      </c>
      <c r="S201" s="14" t="n"/>
      <c r="U201" s="14" t="n"/>
      <c r="X201" s="13" t="inlineStr">
        <is>
          <t>Check it's open before visiting: weak online evidence.</t>
        </is>
      </c>
      <c r="Y201" s="12" t="inlineStr">
        <is>
          <t>https://eastsidesocial.ca</t>
        </is>
      </c>
    </row>
    <row r="202">
      <c r="A202" s="10" t="n">
        <v>201</v>
      </c>
      <c r="B202" s="10" t="n">
        <v>1</v>
      </c>
      <c r="C202" s="11" t="inlineStr">
        <is>
          <t>EAT BKK Thai Kitchen</t>
        </is>
      </c>
      <c r="D202" s="10" t="inlineStr">
        <is>
          <t>Leslieville</t>
        </is>
      </c>
      <c r="E202" s="10" t="inlineStr">
        <is>
          <t>Restaurant</t>
        </is>
      </c>
      <c r="F202" s="10" t="inlineStr">
        <is>
          <t>Thai</t>
        </is>
      </c>
      <c r="G202" s="10" t="inlineStr">
        <is>
          <t>898 Queen St E</t>
        </is>
      </c>
      <c r="H202" s="12" t="inlineStr">
        <is>
          <t>https://www.eatbkk.ca</t>
        </is>
      </c>
      <c r="I202" s="12" t="inlineStr">
        <is>
          <t>@eatbkkto</t>
        </is>
      </c>
      <c r="J202" s="10" t="inlineStr">
        <is>
          <t>(416) 466-4644</t>
        </is>
      </c>
      <c r="K202" s="10" t="inlineStr"/>
      <c r="L202" s="13" t="inlineStr">
        <is>
          <t>A Bangkok-style Thai room from a small local group, easy for weeknights.</t>
        </is>
      </c>
      <c r="M202" s="10" t="inlineStr">
        <is>
          <t>Not checked</t>
        </is>
      </c>
      <c r="N202" s="10" t="inlineStr">
        <is>
          <t>Target</t>
        </is>
      </c>
      <c r="S202" s="14" t="n"/>
      <c r="U202" s="14" t="n"/>
      <c r="X202" s="13" t="inlineStr"/>
      <c r="Y202" s="12" t="inlineStr">
        <is>
          <t>https://www.eatbkk.ca</t>
        </is>
      </c>
    </row>
    <row r="203">
      <c r="A203" s="10" t="n">
        <v>202</v>
      </c>
      <c r="B203" s="10" t="n">
        <v>1</v>
      </c>
      <c r="C203" s="11" t="inlineStr">
        <is>
          <t>El Cazo Taco Grill &amp; Bar</t>
        </is>
      </c>
      <c r="D203" s="10" t="inlineStr">
        <is>
          <t>Leslieville</t>
        </is>
      </c>
      <c r="E203" s="10" t="inlineStr">
        <is>
          <t>Restaurant</t>
        </is>
      </c>
      <c r="F203" s="10" t="inlineStr">
        <is>
          <t>Mexican</t>
        </is>
      </c>
      <c r="G203" s="10" t="inlineStr">
        <is>
          <t>780 Queen St E</t>
        </is>
      </c>
      <c r="H203" s="12" t="inlineStr">
        <is>
          <t>https://elcazo.ca</t>
        </is>
      </c>
      <c r="I203" s="12" t="inlineStr">
        <is>
          <t>@elcazo.ca</t>
        </is>
      </c>
      <c r="J203" s="10" t="inlineStr">
        <is>
          <t>647-344-0780</t>
        </is>
      </c>
      <c r="K203" s="10" t="inlineStr"/>
      <c r="L203" s="13" t="inlineStr">
        <is>
          <t>A casual Mexican spot in Riverside, easy for a weeknight bite for two.</t>
        </is>
      </c>
      <c r="M203" s="10" t="inlineStr">
        <is>
          <t>Not checked</t>
        </is>
      </c>
      <c r="N203" s="10" t="inlineStr">
        <is>
          <t>Target</t>
        </is>
      </c>
      <c r="S203" s="14" t="n"/>
      <c r="U203" s="14" t="n"/>
      <c r="X203" s="13" t="inlineStr">
        <is>
          <t>Check it's open before visiting: weak online evidence.</t>
        </is>
      </c>
      <c r="Y203" s="12" t="inlineStr">
        <is>
          <t>https://leslieville.com/new-businesses-in-leslieville-riverside-riverdale-danforth-east/</t>
        </is>
      </c>
    </row>
    <row r="204">
      <c r="A204" s="10" t="n">
        <v>203</v>
      </c>
      <c r="B204" s="10" t="n">
        <v>1</v>
      </c>
      <c r="C204" s="11" t="inlineStr">
        <is>
          <t>Fangio Trattoria</t>
        </is>
      </c>
      <c r="D204" s="10" t="inlineStr">
        <is>
          <t>Leslieville</t>
        </is>
      </c>
      <c r="E204" s="10" t="inlineStr">
        <is>
          <t>Restaurant</t>
        </is>
      </c>
      <c r="F204" s="10" t="inlineStr">
        <is>
          <t>Italian</t>
        </is>
      </c>
      <c r="G204" s="10" t="inlineStr">
        <is>
          <t>1111 Queen St E</t>
        </is>
      </c>
      <c r="H204" s="12" t="inlineStr">
        <is>
          <t>https://fangio.ca</t>
        </is>
      </c>
      <c r="I204" s="10" t="inlineStr"/>
      <c r="J204" s="10" t="inlineStr"/>
      <c r="K204" s="10" t="inlineStr"/>
      <c r="L204" s="13" t="inlineStr">
        <is>
          <t>A new 39-seat trattoria with house-made pasta, keen to build regulars.</t>
        </is>
      </c>
      <c r="M204" s="10" t="inlineStr">
        <is>
          <t>Not checked</t>
        </is>
      </c>
      <c r="N204" s="10" t="inlineStr">
        <is>
          <t>Target</t>
        </is>
      </c>
      <c r="S204" s="14" t="n"/>
      <c r="U204" s="14" t="n"/>
      <c r="X204" s="13" t="inlineStr"/>
      <c r="Y204" s="12" t="inlineStr">
        <is>
          <t>https://www.blogto.com/eat_drink/2025/10/italian-restaurants-toronto-october-2025/</t>
        </is>
      </c>
    </row>
    <row r="205">
      <c r="A205" s="10" t="n">
        <v>204</v>
      </c>
      <c r="B205" s="10" t="n">
        <v>1</v>
      </c>
      <c r="C205" s="11" t="inlineStr">
        <is>
          <t>Gio Rana's Really Really Nice Restaurant</t>
        </is>
      </c>
      <c r="D205" s="10" t="inlineStr">
        <is>
          <t>Leslieville</t>
        </is>
      </c>
      <c r="E205" s="10" t="inlineStr">
        <is>
          <t>Restaurant</t>
        </is>
      </c>
      <c r="F205" s="10" t="inlineStr">
        <is>
          <t>Italian</t>
        </is>
      </c>
      <c r="G205" s="10" t="inlineStr">
        <is>
          <t>1220 Queen St E</t>
        </is>
      </c>
      <c r="H205" s="10" t="inlineStr"/>
      <c r="I205" s="10" t="inlineStr"/>
      <c r="J205" s="10" t="inlineStr"/>
      <c r="K205" s="10" t="inlineStr"/>
      <c r="L205" s="13" t="inlineStr">
        <is>
          <t>A beloved family-style Italian spot with decades of regulars.</t>
        </is>
      </c>
      <c r="M205" s="10" t="inlineStr">
        <is>
          <t>Not checked</t>
        </is>
      </c>
      <c r="N205" s="10" t="inlineStr">
        <is>
          <t>Target</t>
        </is>
      </c>
      <c r="S205" s="14" t="n"/>
      <c r="U205" s="14" t="n"/>
      <c r="X205" s="13" t="inlineStr"/>
      <c r="Y205" s="12" t="inlineStr">
        <is>
          <t>https://streetsoftoronto.com/food/the-true-story-behind-this-beloved-toronto-restaurant-and-its-iconic-nose-sculpture/</t>
        </is>
      </c>
    </row>
    <row r="206">
      <c r="A206" s="10" t="n">
        <v>205</v>
      </c>
      <c r="B206" s="10" t="n">
        <v>1</v>
      </c>
      <c r="C206" s="11" t="inlineStr">
        <is>
          <t>Hume</t>
        </is>
      </c>
      <c r="D206" s="10" t="inlineStr">
        <is>
          <t>Leslieville</t>
        </is>
      </c>
      <c r="E206" s="10" t="inlineStr">
        <is>
          <t>Restaurant</t>
        </is>
      </c>
      <c r="F206" s="10" t="inlineStr">
        <is>
          <t>Anatolian-Mediterranean</t>
        </is>
      </c>
      <c r="G206" s="10" t="inlineStr">
        <is>
          <t>782 Queen St E</t>
        </is>
      </c>
      <c r="H206" s="10" t="inlineStr"/>
      <c r="I206" s="10" t="inlineStr"/>
      <c r="J206" s="10" t="inlineStr"/>
      <c r="K206" s="10" t="inlineStr"/>
      <c r="L206" s="13" t="inlineStr">
        <is>
          <t>A newer Anatolian-Mediterranean room in Riverside worth an early approach.</t>
        </is>
      </c>
      <c r="M206" s="10" t="inlineStr">
        <is>
          <t>Not checked</t>
        </is>
      </c>
      <c r="N206" s="10" t="inlineStr">
        <is>
          <t>Target</t>
        </is>
      </c>
      <c r="S206" s="14" t="n"/>
      <c r="U206" s="14" t="n"/>
      <c r="X206" s="13" t="inlineStr">
        <is>
          <t>Check it's open before visiting: weak online evidence.</t>
        </is>
      </c>
      <c r="Y206" s="12" t="inlineStr">
        <is>
          <t>https://leslieville.com/new-businesses-in-leslieville-riverside-riverdale-danforth-east/</t>
        </is>
      </c>
    </row>
    <row r="207">
      <c r="A207" s="10" t="n">
        <v>206</v>
      </c>
      <c r="B207" s="10" t="n">
        <v>1</v>
      </c>
      <c r="C207" s="11" t="inlineStr">
        <is>
          <t>La Paella</t>
        </is>
      </c>
      <c r="D207" s="10" t="inlineStr">
        <is>
          <t>Leslieville</t>
        </is>
      </c>
      <c r="E207" s="10" t="inlineStr">
        <is>
          <t>Restaurant</t>
        </is>
      </c>
      <c r="F207" s="10" t="inlineStr">
        <is>
          <t>Spanish</t>
        </is>
      </c>
      <c r="G207" s="10" t="inlineStr">
        <is>
          <t>1146 Queen St E</t>
        </is>
      </c>
      <c r="H207" s="12" t="inlineStr">
        <is>
          <t>https://lapaella.ca</t>
        </is>
      </c>
      <c r="I207" s="12" t="inlineStr">
        <is>
          <t>@lapaella_leslieville</t>
        </is>
      </c>
      <c r="J207" s="10" t="inlineStr">
        <is>
          <t>(416) 546-1055</t>
        </is>
      </c>
      <c r="K207" s="10" t="inlineStr"/>
      <c r="L207" s="13" t="inlineStr">
        <is>
          <t>Paella and tapas made for sharing, a natural fit for two.</t>
        </is>
      </c>
      <c r="M207" s="10" t="inlineStr">
        <is>
          <t>Not checked</t>
        </is>
      </c>
      <c r="N207" s="10" t="inlineStr">
        <is>
          <t>Target</t>
        </is>
      </c>
      <c r="S207" s="14" t="n"/>
      <c r="U207" s="14" t="n"/>
      <c r="X207" s="13" t="inlineStr"/>
      <c r="Y207" s="12" t="inlineStr">
        <is>
          <t>https://lapaella.ca</t>
        </is>
      </c>
    </row>
    <row r="208">
      <c r="A208" s="10" t="n">
        <v>207</v>
      </c>
      <c r="B208" s="10" t="n">
        <v>1</v>
      </c>
      <c r="C208" s="11" t="inlineStr">
        <is>
          <t>Lamoon Thai Kitchen &amp; Coffee</t>
        </is>
      </c>
      <c r="D208" s="10" t="inlineStr">
        <is>
          <t>Leslieville</t>
        </is>
      </c>
      <c r="E208" s="10" t="inlineStr">
        <is>
          <t>Restaurant</t>
        </is>
      </c>
      <c r="F208" s="10" t="inlineStr">
        <is>
          <t>Thai</t>
        </is>
      </c>
      <c r="G208" s="10" t="inlineStr">
        <is>
          <t>730 Queen St E</t>
        </is>
      </c>
      <c r="H208" s="10" t="inlineStr"/>
      <c r="I208" s="10" t="inlineStr"/>
      <c r="J208" s="10" t="inlineStr"/>
      <c r="K208" s="10" t="inlineStr"/>
      <c r="L208" s="13" t="inlineStr">
        <is>
          <t>A 2026 opening at Queen and Broadview that serves food and coffee.</t>
        </is>
      </c>
      <c r="M208" s="10" t="inlineStr">
        <is>
          <t>Not checked</t>
        </is>
      </c>
      <c r="N208" s="10" t="inlineStr">
        <is>
          <t>Target</t>
        </is>
      </c>
      <c r="S208" s="14" t="n"/>
      <c r="U208" s="14" t="n"/>
      <c r="X208" s="13" t="inlineStr">
        <is>
          <t>Check it's open before visiting: weak online evidence.</t>
        </is>
      </c>
      <c r="Y208" s="12" t="inlineStr">
        <is>
          <t>https://leslieville.com/new-businesses-in-leslieville-riverside-riverdale-danforth-east/</t>
        </is>
      </c>
    </row>
    <row r="209">
      <c r="A209" s="10" t="n">
        <v>208</v>
      </c>
      <c r="B209" s="10" t="n">
        <v>1</v>
      </c>
      <c r="C209" s="11" t="inlineStr">
        <is>
          <t>MARU Japanese Bistro</t>
        </is>
      </c>
      <c r="D209" s="10" t="inlineStr">
        <is>
          <t>Leslieville</t>
        </is>
      </c>
      <c r="E209" s="10" t="inlineStr">
        <is>
          <t>Restaurant</t>
        </is>
      </c>
      <c r="F209" s="10" t="inlineStr">
        <is>
          <t>Japanese</t>
        </is>
      </c>
      <c r="G209" s="10" t="inlineStr">
        <is>
          <t>1402 Queen St E</t>
        </is>
      </c>
      <c r="H209" s="12" t="inlineStr">
        <is>
          <t>https://marubistro.com</t>
        </is>
      </c>
      <c r="I209" s="10" t="inlineStr"/>
      <c r="J209" s="10" t="inlineStr">
        <is>
          <t>416-466-4666</t>
        </is>
      </c>
      <c r="K209" s="10" t="inlineStr">
        <is>
          <t>$$$</t>
        </is>
      </c>
      <c r="L209" s="13" t="inlineStr">
        <is>
          <t>A chef-run Japanese bistro with sushi and small plates for sharing.</t>
        </is>
      </c>
      <c r="M209" s="10" t="inlineStr">
        <is>
          <t>Not checked</t>
        </is>
      </c>
      <c r="N209" s="10" t="inlineStr">
        <is>
          <t>Target</t>
        </is>
      </c>
      <c r="S209" s="14" t="n"/>
      <c r="U209" s="14" t="n"/>
      <c r="X209" s="13" t="inlineStr"/>
      <c r="Y209" s="12" t="inlineStr">
        <is>
          <t>https://www.torontotourism.org/leslieville-beaches-toronto/</t>
        </is>
      </c>
    </row>
    <row r="210">
      <c r="A210" s="10" t="n">
        <v>209</v>
      </c>
      <c r="B210" s="10" t="n">
        <v>1</v>
      </c>
      <c r="C210" s="11" t="inlineStr">
        <is>
          <t>NODO Leslieville</t>
        </is>
      </c>
      <c r="D210" s="10" t="inlineStr">
        <is>
          <t>Leslieville</t>
        </is>
      </c>
      <c r="E210" s="10" t="inlineStr">
        <is>
          <t>Restaurant</t>
        </is>
      </c>
      <c r="F210" s="10" t="inlineStr">
        <is>
          <t>Italian</t>
        </is>
      </c>
      <c r="G210" s="10" t="inlineStr">
        <is>
          <t>1192 Queen St E</t>
        </is>
      </c>
      <c r="H210" s="12" t="inlineStr">
        <is>
          <t>https://nodorestaurant.ca</t>
        </is>
      </c>
      <c r="I210" s="10" t="inlineStr"/>
      <c r="J210" s="10" t="inlineStr"/>
      <c r="K210" s="10" t="inlineStr"/>
      <c r="L210" s="13" t="inlineStr">
        <is>
          <t>A casual pizza and pasta room with a big patio, good for weeknights.</t>
        </is>
      </c>
      <c r="M210" s="10" t="inlineStr">
        <is>
          <t>Not checked</t>
        </is>
      </c>
      <c r="N210" s="10" t="inlineStr">
        <is>
          <t>Target</t>
        </is>
      </c>
      <c r="S210" s="14" t="n"/>
      <c r="U210" s="14" t="n"/>
      <c r="X210" s="13" t="inlineStr">
        <is>
          <t>Check it's open before visiting: weak online evidence.</t>
        </is>
      </c>
      <c r="Y210" s="12" t="inlineStr">
        <is>
          <t>https://www.heapsestrin.com/listing/e13034338-1192-queen-street-e-toronto-e01-on-m4m-1l4/</t>
        </is>
      </c>
    </row>
    <row r="211">
      <c r="A211" s="10" t="n">
        <v>210</v>
      </c>
      <c r="B211" s="10" t="n">
        <v>1</v>
      </c>
      <c r="C211" s="11" t="inlineStr">
        <is>
          <t>NOLA Eatery &amp; Bar</t>
        </is>
      </c>
      <c r="D211" s="10" t="inlineStr">
        <is>
          <t>Leslieville</t>
        </is>
      </c>
      <c r="E211" s="10" t="inlineStr">
        <is>
          <t>Restaurant</t>
        </is>
      </c>
      <c r="F211" s="10" t="inlineStr">
        <is>
          <t>French-Italian</t>
        </is>
      </c>
      <c r="G211" s="10" t="inlineStr">
        <is>
          <t>1161 Queen St E</t>
        </is>
      </c>
      <c r="H211" s="12" t="inlineStr">
        <is>
          <t>https://nolaeateryandbar.com</t>
        </is>
      </c>
      <c r="I211" s="10" t="inlineStr"/>
      <c r="J211" s="10" t="inlineStr">
        <is>
          <t>416-461-7663</t>
        </is>
      </c>
      <c r="K211" s="10" t="inlineStr"/>
      <c r="L211" s="13" t="inlineStr">
        <is>
          <t>A Queen East dinner and brunch room with handmade pasta.</t>
        </is>
      </c>
      <c r="M211" s="10" t="inlineStr">
        <is>
          <t>Not checked</t>
        </is>
      </c>
      <c r="N211" s="10" t="inlineStr">
        <is>
          <t>Target</t>
        </is>
      </c>
      <c r="S211" s="14" t="n"/>
      <c r="U211" s="14" t="n"/>
      <c r="X211" s="13" t="inlineStr"/>
      <c r="Y211" s="12" t="inlineStr">
        <is>
          <t>https://nolaeateryandbar.com</t>
        </is>
      </c>
    </row>
    <row r="212">
      <c r="A212" s="10" t="n">
        <v>211</v>
      </c>
      <c r="B212" s="10" t="n">
        <v>1</v>
      </c>
      <c r="C212" s="11" t="inlineStr">
        <is>
          <t>Ricky + Olivia</t>
        </is>
      </c>
      <c r="D212" s="10" t="inlineStr">
        <is>
          <t>Leslieville</t>
        </is>
      </c>
      <c r="E212" s="10" t="inlineStr">
        <is>
          <t>Restaurant</t>
        </is>
      </c>
      <c r="F212" s="10" t="inlineStr">
        <is>
          <t>Contemporary Ontario</t>
        </is>
      </c>
      <c r="G212" s="10" t="inlineStr">
        <is>
          <t>996 Queen St E</t>
        </is>
      </c>
      <c r="H212" s="12" t="inlineStr">
        <is>
          <t>https://rickyandolivia.com</t>
        </is>
      </c>
      <c r="I212" s="10" t="inlineStr"/>
      <c r="J212" s="10" t="inlineStr">
        <is>
          <t>(647) 965-6697</t>
        </is>
      </c>
      <c r="K212" s="10" t="inlineStr"/>
      <c r="L212" s="13" t="inlineStr">
        <is>
          <t>A Bib Gourmand pick that would give the Leslieville list credibility.</t>
        </is>
      </c>
      <c r="M212" s="10" t="inlineStr">
        <is>
          <t>Not checked</t>
        </is>
      </c>
      <c r="N212" s="10" t="inlineStr">
        <is>
          <t>Target</t>
        </is>
      </c>
      <c r="S212" s="14" t="n"/>
      <c r="U212" s="14" t="n"/>
      <c r="X212" s="13" t="inlineStr">
        <is>
          <t>Check it's open before visiting: weak online evidence.</t>
        </is>
      </c>
      <c r="Y212" s="12" t="inlineStr">
        <is>
          <t>https://tastet.ca/en/news/michelin-guide-toronto-2026-all-the-award-winners/</t>
        </is>
      </c>
    </row>
    <row r="213">
      <c r="A213" s="10" t="n">
        <v>212</v>
      </c>
      <c r="B213" s="10" t="n">
        <v>1</v>
      </c>
      <c r="C213" s="11" t="inlineStr">
        <is>
          <t>Tabülè on Queen</t>
        </is>
      </c>
      <c r="D213" s="10" t="inlineStr">
        <is>
          <t>Leslieville</t>
        </is>
      </c>
      <c r="E213" s="10" t="inlineStr">
        <is>
          <t>Restaurant</t>
        </is>
      </c>
      <c r="F213" s="10" t="inlineStr">
        <is>
          <t>Middle Eastern</t>
        </is>
      </c>
      <c r="G213" s="10" t="inlineStr">
        <is>
          <t>810 Queen St E</t>
        </is>
      </c>
      <c r="H213" s="12" t="inlineStr">
        <is>
          <t>https://tabule.ca</t>
        </is>
      </c>
      <c r="I213" s="10" t="inlineStr"/>
      <c r="J213" s="10" t="inlineStr">
        <is>
          <t>416-465-2500</t>
        </is>
      </c>
      <c r="K213" s="10" t="inlineStr">
        <is>
          <t>$$$$</t>
        </is>
      </c>
      <c r="L213" s="13" t="inlineStr">
        <is>
          <t>A Riverside Middle Eastern room built for sharing plates with a group.</t>
        </is>
      </c>
      <c r="M213" s="10" t="inlineStr">
        <is>
          <t>Not checked</t>
        </is>
      </c>
      <c r="N213" s="10" t="inlineStr">
        <is>
          <t>Target</t>
        </is>
      </c>
      <c r="S213" s="14" t="n"/>
      <c r="U213" s="14" t="n"/>
      <c r="X213" s="13" t="inlineStr"/>
      <c r="Y213" s="12" t="inlineStr">
        <is>
          <t>https://www.opentable.ie/tabule-on-queen</t>
        </is>
      </c>
    </row>
    <row r="214">
      <c r="A214" s="10" t="n">
        <v>213</v>
      </c>
      <c r="B214" s="10" t="n">
        <v>1</v>
      </c>
      <c r="C214" s="11" t="inlineStr">
        <is>
          <t>Ramona's Kitchen</t>
        </is>
      </c>
      <c r="D214" s="10" t="inlineStr">
        <is>
          <t>Leslieville</t>
        </is>
      </c>
      <c r="E214" s="10" t="inlineStr">
        <is>
          <t>Brunch</t>
        </is>
      </c>
      <c r="F214" s="10" t="inlineStr">
        <is>
          <t>Brunch</t>
        </is>
      </c>
      <c r="G214" s="10" t="inlineStr">
        <is>
          <t>913 Queen St E</t>
        </is>
      </c>
      <c r="H214" s="12" t="inlineStr">
        <is>
          <t>https://www.ramonaskitchen.ca</t>
        </is>
      </c>
      <c r="I214" s="12" t="inlineStr">
        <is>
          <t>@ramonaskitchenca</t>
        </is>
      </c>
      <c r="J214" s="10" t="inlineStr"/>
      <c r="K214" s="10" t="inlineStr"/>
      <c r="L214" s="13" t="inlineStr">
        <is>
          <t>A brunch spot that opened in 2025 and is looking to fill weekday seats.</t>
        </is>
      </c>
      <c r="M214" s="10" t="inlineStr">
        <is>
          <t>Not checked</t>
        </is>
      </c>
      <c r="N214" s="10" t="inlineStr">
        <is>
          <t>Target</t>
        </is>
      </c>
      <c r="S214" s="14" t="n"/>
      <c r="U214" s="14" t="n"/>
      <c r="X214" s="13" t="inlineStr"/>
      <c r="Y214" s="12" t="inlineStr">
        <is>
          <t>https://www.ramonaskitchen.ca</t>
        </is>
      </c>
    </row>
    <row r="215">
      <c r="A215" s="10" t="n">
        <v>214</v>
      </c>
      <c r="B215" s="10" t="n">
        <v>1</v>
      </c>
      <c r="C215" s="11" t="inlineStr">
        <is>
          <t>Tatsuro's</t>
        </is>
      </c>
      <c r="D215" s="10" t="inlineStr">
        <is>
          <t>Leslieville</t>
        </is>
      </c>
      <c r="E215" s="10" t="inlineStr">
        <is>
          <t>Brunch</t>
        </is>
      </c>
      <c r="F215" s="10" t="inlineStr">
        <is>
          <t>Japanese-inspired brunch</t>
        </is>
      </c>
      <c r="G215" s="10" t="inlineStr">
        <is>
          <t>1378 Queen St E</t>
        </is>
      </c>
      <c r="H215" s="10" t="inlineStr"/>
      <c r="I215" s="12" t="inlineStr">
        <is>
          <t>@tatsurostoronto</t>
        </is>
      </c>
      <c r="J215" s="10" t="inlineStr"/>
      <c r="K215" s="10" t="inlineStr"/>
      <c r="L215" s="13" t="inlineStr">
        <is>
          <t>A walk-in brunch spot that opened in 2025 and draws a young crowd.</t>
        </is>
      </c>
      <c r="M215" s="10" t="inlineStr">
        <is>
          <t>Not checked</t>
        </is>
      </c>
      <c r="N215" s="10" t="inlineStr">
        <is>
          <t>Target</t>
        </is>
      </c>
      <c r="S215" s="14" t="n"/>
      <c r="U215" s="14" t="n"/>
      <c r="X215" s="13" t="inlineStr"/>
      <c r="Y215" s="12" t="inlineStr">
        <is>
          <t>https://www.blogto.com/eat_drink/2025/05/new-brunch-toronto/</t>
        </is>
      </c>
    </row>
    <row r="216">
      <c r="A216" s="10" t="n">
        <v>215</v>
      </c>
      <c r="B216" s="10" t="n">
        <v>1</v>
      </c>
      <c r="C216" s="11" t="inlineStr">
        <is>
          <t>Elm Street Deli</t>
        </is>
      </c>
      <c r="D216" s="10" t="inlineStr">
        <is>
          <t>Leslieville</t>
        </is>
      </c>
      <c r="E216" s="10" t="inlineStr">
        <is>
          <t>Café</t>
        </is>
      </c>
      <c r="F216" s="10" t="inlineStr">
        <is>
          <t>Italian deli, coffee</t>
        </is>
      </c>
      <c r="G216" s="10" t="inlineStr">
        <is>
          <t>1247 Queen St E</t>
        </is>
      </c>
      <c r="H216" s="10" t="inlineStr"/>
      <c r="I216" s="10" t="inlineStr"/>
      <c r="J216" s="10" t="inlineStr"/>
      <c r="K216" s="10" t="inlineStr"/>
      <c r="L216" s="13" t="inlineStr">
        <is>
          <t>A new breakfast and coffee spot from the Cherry St. Bar-B-Que owner.</t>
        </is>
      </c>
      <c r="M216" s="10" t="inlineStr">
        <is>
          <t>Not checked</t>
        </is>
      </c>
      <c r="N216" s="10" t="inlineStr">
        <is>
          <t>Target</t>
        </is>
      </c>
      <c r="S216" s="14" t="n"/>
      <c r="U216" s="14" t="n"/>
      <c r="X216" s="13" t="inlineStr"/>
      <c r="Y216" s="12" t="inlineStr">
        <is>
          <t>https://streetsoftoronto.com/food/restaurants/your-next-favourite-sandwich-shop-just-opened-in-toronto</t>
        </is>
      </c>
    </row>
    <row r="217">
      <c r="A217" s="10" t="n">
        <v>216</v>
      </c>
      <c r="B217" s="10" t="n">
        <v>1</v>
      </c>
      <c r="C217" s="11" t="inlineStr">
        <is>
          <t>KidultLand Cafe</t>
        </is>
      </c>
      <c r="D217" s="10" t="inlineStr">
        <is>
          <t>Leslieville</t>
        </is>
      </c>
      <c r="E217" s="10" t="inlineStr">
        <is>
          <t>Café</t>
        </is>
      </c>
      <c r="F217" s="10" t="inlineStr">
        <is>
          <t>Korean café</t>
        </is>
      </c>
      <c r="G217" s="10" t="inlineStr">
        <is>
          <t>1091 Queen St E</t>
        </is>
      </c>
      <c r="H217" s="10" t="inlineStr"/>
      <c r="I217" s="10" t="inlineStr"/>
      <c r="J217" s="10" t="inlineStr"/>
      <c r="K217" s="10" t="inlineStr"/>
      <c r="L217" s="13" t="inlineStr">
        <is>
          <t>A family-run café opened in 2025 that draws students and young professionals.</t>
        </is>
      </c>
      <c r="M217" s="10" t="inlineStr">
        <is>
          <t>Not checked</t>
        </is>
      </c>
      <c r="N217" s="10" t="inlineStr">
        <is>
          <t>Target</t>
        </is>
      </c>
      <c r="S217" s="14" t="n"/>
      <c r="U217" s="14" t="n"/>
      <c r="X217" s="13" t="inlineStr"/>
      <c r="Y217" s="12" t="inlineStr">
        <is>
          <t>https://beachmetro.com/2025/06/27/new-kidultland-cafe-brings-playful-taste-of-korea-to-leslieville/</t>
        </is>
      </c>
    </row>
    <row r="218">
      <c r="A218" s="10" t="n">
        <v>217</v>
      </c>
      <c r="B218" s="10" t="n">
        <v>1</v>
      </c>
      <c r="C218" s="11" t="inlineStr">
        <is>
          <t>Masa Deli Leslieville</t>
        </is>
      </c>
      <c r="D218" s="10" t="inlineStr">
        <is>
          <t>Leslieville</t>
        </is>
      </c>
      <c r="E218" s="10" t="inlineStr">
        <is>
          <t>Café</t>
        </is>
      </c>
      <c r="F218" s="10" t="inlineStr">
        <is>
          <t>Mexican deli</t>
        </is>
      </c>
      <c r="G218" s="10" t="inlineStr">
        <is>
          <t>954 Queen St E</t>
        </is>
      </c>
      <c r="H218" s="12" t="inlineStr">
        <is>
          <t>https://masadeli.ca</t>
        </is>
      </c>
      <c r="I218" s="12" t="inlineStr">
        <is>
          <t>@masadeli.ca</t>
        </is>
      </c>
      <c r="J218" s="10" t="inlineStr"/>
      <c r="K218" s="10" t="inlineStr"/>
      <c r="L218" s="13" t="inlineStr">
        <is>
          <t>A 2025 opening known for breakfast burritos and tortas.</t>
        </is>
      </c>
      <c r="M218" s="10" t="inlineStr">
        <is>
          <t>Not checked</t>
        </is>
      </c>
      <c r="N218" s="10" t="inlineStr">
        <is>
          <t>Target</t>
        </is>
      </c>
      <c r="S218" s="14" t="n"/>
      <c r="U218" s="14" t="n"/>
      <c r="X218" s="13" t="inlineStr"/>
      <c r="Y218" s="12" t="inlineStr">
        <is>
          <t>https://www.blogto.com/restaurants/masadeli-leslieville-toronto/</t>
        </is>
      </c>
    </row>
    <row r="219">
      <c r="A219" s="10" t="n">
        <v>218</v>
      </c>
      <c r="B219" s="10" t="n">
        <v>1</v>
      </c>
      <c r="C219" s="11" t="inlineStr">
        <is>
          <t>Mercury Espresso Bar</t>
        </is>
      </c>
      <c r="D219" s="10" t="inlineStr">
        <is>
          <t>Leslieville</t>
        </is>
      </c>
      <c r="E219" s="10" t="inlineStr">
        <is>
          <t>Café</t>
        </is>
      </c>
      <c r="F219" s="10" t="inlineStr">
        <is>
          <t>Coffee</t>
        </is>
      </c>
      <c r="G219" s="10" t="inlineStr">
        <is>
          <t>915 Queen St E</t>
        </is>
      </c>
      <c r="H219" s="10" t="inlineStr"/>
      <c r="I219" s="10" t="inlineStr"/>
      <c r="J219" s="10" t="inlineStr">
        <is>
          <t>647-435-4779</t>
        </is>
      </c>
      <c r="K219" s="10" t="inlineStr"/>
      <c r="L219" s="13" t="inlineStr">
        <is>
          <t>A local espresso bar with a patio and steady regulars.</t>
        </is>
      </c>
      <c r="M219" s="10" t="inlineStr">
        <is>
          <t>Not checked</t>
        </is>
      </c>
      <c r="N219" s="10" t="inlineStr">
        <is>
          <t>Target</t>
        </is>
      </c>
      <c r="S219" s="14" t="n"/>
      <c r="U219" s="14" t="n"/>
      <c r="X219" s="13" t="inlineStr"/>
      <c r="Y219" s="12" t="inlineStr">
        <is>
          <t>https://www.torontotourism.org/leslieville-beaches-toronto/</t>
        </is>
      </c>
    </row>
    <row r="220">
      <c r="A220" s="10" t="n">
        <v>219</v>
      </c>
      <c r="B220" s="10" t="n">
        <v>1</v>
      </c>
      <c r="C220" s="11" t="inlineStr">
        <is>
          <t>Pilot Coffee Roasters (Te Aro)</t>
        </is>
      </c>
      <c r="D220" s="10" t="inlineStr">
        <is>
          <t>Leslieville</t>
        </is>
      </c>
      <c r="E220" s="10" t="inlineStr">
        <is>
          <t>Café</t>
        </is>
      </c>
      <c r="F220" s="10" t="inlineStr">
        <is>
          <t>Coffee</t>
        </is>
      </c>
      <c r="G220" s="10" t="inlineStr">
        <is>
          <t>983 Queen St E</t>
        </is>
      </c>
      <c r="H220" s="12" t="inlineStr">
        <is>
          <t>https://www.pilotcoffeeroasters.com</t>
        </is>
      </c>
      <c r="I220" s="12" t="inlineStr">
        <is>
          <t>@pilotcoffee</t>
        </is>
      </c>
      <c r="J220" s="10" t="inlineStr"/>
      <c r="K220" s="10" t="inlineStr"/>
      <c r="L220" s="13" t="inlineStr">
        <is>
          <t>The roaster's Leslieville flagship café, a strong coffee-for-two partner.</t>
        </is>
      </c>
      <c r="M220" s="10" t="inlineStr">
        <is>
          <t>Not checked</t>
        </is>
      </c>
      <c r="N220" s="10" t="inlineStr">
        <is>
          <t>Target</t>
        </is>
      </c>
      <c r="S220" s="14" t="n"/>
      <c r="U220" s="14" t="n"/>
      <c r="X220" s="13" t="inlineStr"/>
      <c r="Y220" s="12" t="inlineStr">
        <is>
          <t>https://www.torontotourism.org/leslieville-beaches-toronto/</t>
        </is>
      </c>
    </row>
    <row r="221">
      <c r="A221" s="10" t="n">
        <v>220</v>
      </c>
      <c r="B221" s="10" t="n">
        <v>1</v>
      </c>
      <c r="C221" s="11" t="inlineStr">
        <is>
          <t>Purple Penguin Cafe</t>
        </is>
      </c>
      <c r="D221" s="10" t="inlineStr">
        <is>
          <t>Leslieville</t>
        </is>
      </c>
      <c r="E221" s="10" t="inlineStr">
        <is>
          <t>Café</t>
        </is>
      </c>
      <c r="F221" s="10" t="inlineStr">
        <is>
          <t>Café, doughnuts</t>
        </is>
      </c>
      <c r="G221" s="10" t="inlineStr">
        <is>
          <t>889 Queen St E</t>
        </is>
      </c>
      <c r="H221" s="12" t="inlineStr">
        <is>
          <t>https://purplepenguincafe.square.site</t>
        </is>
      </c>
      <c r="I221" s="10" t="inlineStr"/>
      <c r="J221" s="10" t="inlineStr"/>
      <c r="K221" s="10" t="inlineStr"/>
      <c r="L221" s="13" t="inlineStr">
        <is>
          <t>A neighbourhood café known for hot apple fritters.</t>
        </is>
      </c>
      <c r="M221" s="10" t="inlineStr">
        <is>
          <t>Not checked</t>
        </is>
      </c>
      <c r="N221" s="10" t="inlineStr">
        <is>
          <t>Target</t>
        </is>
      </c>
      <c r="S221" s="14" t="n"/>
      <c r="U221" s="14" t="n"/>
      <c r="X221" s="13" t="inlineStr"/>
      <c r="Y221" s="12" t="inlineStr">
        <is>
          <t>https://www.torontotourism.org/leslieville-beaches-toronto/</t>
        </is>
      </c>
    </row>
    <row r="222">
      <c r="A222" s="10" t="n">
        <v>221</v>
      </c>
      <c r="B222" s="10" t="n">
        <v>1</v>
      </c>
      <c r="C222" s="11" t="inlineStr">
        <is>
          <t>Bobbette &amp; Belle</t>
        </is>
      </c>
      <c r="D222" s="10" t="inlineStr">
        <is>
          <t>Leslieville</t>
        </is>
      </c>
      <c r="E222" s="10" t="inlineStr">
        <is>
          <t>Bakery</t>
        </is>
      </c>
      <c r="F222" s="10" t="inlineStr">
        <is>
          <t>French pastry</t>
        </is>
      </c>
      <c r="G222" s="10" t="inlineStr">
        <is>
          <t>1121 Queen St E</t>
        </is>
      </c>
      <c r="H222" s="12" t="inlineStr">
        <is>
          <t>https://bobbetteandbelle.com</t>
        </is>
      </c>
      <c r="I222" s="12" t="inlineStr">
        <is>
          <t>@bobbetteandbelle</t>
        </is>
      </c>
      <c r="J222" s="10" t="inlineStr">
        <is>
          <t>(416) 466-8800</t>
        </is>
      </c>
      <c r="K222" s="10" t="inlineStr"/>
      <c r="L222" s="13" t="inlineStr">
        <is>
          <t>A pastry shop with café seating, good for a treat-for-two offer.</t>
        </is>
      </c>
      <c r="M222" s="10" t="inlineStr">
        <is>
          <t>Not checked</t>
        </is>
      </c>
      <c r="N222" s="10" t="inlineStr">
        <is>
          <t>Target</t>
        </is>
      </c>
      <c r="S222" s="14" t="n"/>
      <c r="U222" s="14" t="n"/>
      <c r="X222" s="13" t="inlineStr"/>
      <c r="Y222" s="12" t="inlineStr">
        <is>
          <t>https://bobbetteandbelle.com</t>
        </is>
      </c>
    </row>
    <row r="223">
      <c r="A223" s="10" t="n">
        <v>222</v>
      </c>
      <c r="B223" s="10" t="n">
        <v>1</v>
      </c>
      <c r="C223" s="11" t="inlineStr">
        <is>
          <t>Johnson Family Bakery</t>
        </is>
      </c>
      <c r="D223" s="10" t="inlineStr">
        <is>
          <t>Leslieville</t>
        </is>
      </c>
      <c r="E223" s="10" t="inlineStr">
        <is>
          <t>Bakery</t>
        </is>
      </c>
      <c r="F223" s="10" t="inlineStr">
        <is>
          <t>Sourdough bakery</t>
        </is>
      </c>
      <c r="G223" s="10" t="inlineStr">
        <is>
          <t>993 Queen St E</t>
        </is>
      </c>
      <c r="H223" s="12" t="inlineStr">
        <is>
          <t>https://www.johnsonfamilybakery.ca</t>
        </is>
      </c>
      <c r="I223" s="10" t="inlineStr"/>
      <c r="J223" s="10" t="inlineStr"/>
      <c r="K223" s="10" t="inlineStr"/>
      <c r="L223" s="13" t="inlineStr">
        <is>
          <t>A local sourdough bakery with a strong neighbourhood following.</t>
        </is>
      </c>
      <c r="M223" s="10" t="inlineStr">
        <is>
          <t>Not checked</t>
        </is>
      </c>
      <c r="N223" s="10" t="inlineStr">
        <is>
          <t>Target</t>
        </is>
      </c>
      <c r="S223" s="14" t="n"/>
      <c r="U223" s="14" t="n"/>
      <c r="X223" s="13" t="inlineStr"/>
      <c r="Y223" s="12" t="inlineStr">
        <is>
          <t>https://blogto.com/eat_drink/2025/01/man-pride-flag-toronto-bakery</t>
        </is>
      </c>
    </row>
    <row r="224">
      <c r="A224" s="10" t="n">
        <v>223</v>
      </c>
      <c r="B224" s="10" t="n">
        <v>1</v>
      </c>
      <c r="C224" s="11" t="inlineStr">
        <is>
          <t>Alter</t>
        </is>
      </c>
      <c r="D224" s="10" t="inlineStr">
        <is>
          <t>Leslieville</t>
        </is>
      </c>
      <c r="E224" s="10" t="inlineStr">
        <is>
          <t>Spa</t>
        </is>
      </c>
      <c r="F224" s="10" t="inlineStr">
        <is>
          <t>Sauna and ice bath studio</t>
        </is>
      </c>
      <c r="G224" s="10" t="inlineStr">
        <is>
          <t>988 Queen St E; 860 College St</t>
        </is>
      </c>
      <c r="H224" s="12" t="inlineStr">
        <is>
          <t>https://www.alterwellness.ca/</t>
        </is>
      </c>
      <c r="I224" s="12" t="inlineStr">
        <is>
          <t>@alter.toronto</t>
        </is>
      </c>
      <c r="J224" s="10" t="inlineStr"/>
      <c r="K224" s="10" t="inlineStr"/>
      <c r="L224" s="13" t="inlineStr">
        <is>
          <t>Bring a friend to a sauna and cold plunge session free.</t>
        </is>
      </c>
      <c r="M224" s="10" t="inlineStr">
        <is>
          <t>Not checked</t>
        </is>
      </c>
      <c r="N224" s="10" t="inlineStr">
        <is>
          <t>Target</t>
        </is>
      </c>
      <c r="S224" s="14" t="n"/>
      <c r="U224" s="14" t="n"/>
      <c r="X224" s="13" t="inlineStr"/>
      <c r="Y224" s="12" t="inlineStr">
        <is>
          <t>https://curiocity.com/toronto-wellness-studios-ontario/</t>
        </is>
      </c>
    </row>
    <row r="225">
      <c r="A225" s="10" t="n">
        <v>224</v>
      </c>
      <c r="B225" s="10" t="n">
        <v>1</v>
      </c>
      <c r="C225" s="11" t="inlineStr">
        <is>
          <t>Blitz Facial Bar</t>
        </is>
      </c>
      <c r="D225" s="10" t="inlineStr">
        <is>
          <t>Leslieville</t>
        </is>
      </c>
      <c r="E225" s="10" t="inlineStr">
        <is>
          <t>Spa</t>
        </is>
      </c>
      <c r="F225" s="10" t="inlineStr">
        <is>
          <t>Facial bar</t>
        </is>
      </c>
      <c r="G225" s="10" t="inlineStr">
        <is>
          <t>1133 Queen St E</t>
        </is>
      </c>
      <c r="H225" s="12" t="inlineStr">
        <is>
          <t>https://blitzfacialbar.com/</t>
        </is>
      </c>
      <c r="I225" s="12" t="inlineStr">
        <is>
          <t>@blitzfacialbar</t>
        </is>
      </c>
      <c r="J225" s="10" t="inlineStr"/>
      <c r="K225" s="10" t="inlineStr"/>
      <c r="L225" s="13" t="inlineStr">
        <is>
          <t>Free mask or LED add-on with any facial.</t>
        </is>
      </c>
      <c r="M225" s="10" t="inlineStr">
        <is>
          <t>Not checked</t>
        </is>
      </c>
      <c r="N225" s="10" t="inlineStr">
        <is>
          <t>Target</t>
        </is>
      </c>
      <c r="S225" s="14" t="n"/>
      <c r="U225" s="14" t="n"/>
      <c r="X225" s="13" t="inlineStr"/>
      <c r="Y225" s="12" t="inlineStr">
        <is>
          <t>https://curiocity.com/toronto-spas-massages-facials/</t>
        </is>
      </c>
    </row>
    <row r="226">
      <c r="A226" s="10" t="n">
        <v>225</v>
      </c>
      <c r="B226" s="10" t="n">
        <v>1</v>
      </c>
      <c r="C226" s="11" t="inlineStr">
        <is>
          <t>Body Blitz Spa</t>
        </is>
      </c>
      <c r="D226" s="10" t="inlineStr">
        <is>
          <t>Leslieville</t>
        </is>
      </c>
      <c r="E226" s="10" t="inlineStr">
        <is>
          <t>Spa</t>
        </is>
      </c>
      <c r="F226" s="10" t="inlineStr">
        <is>
          <t>Women's hydrotherapy spa</t>
        </is>
      </c>
      <c r="G226" s="10" t="inlineStr">
        <is>
          <t>497 King St E</t>
        </is>
      </c>
      <c r="H226" s="12" t="inlineStr">
        <is>
          <t>https://bodyblitzspa.com/</t>
        </is>
      </c>
      <c r="I226" s="12" t="inlineStr">
        <is>
          <t>@bodyblitzspa</t>
        </is>
      </c>
      <c r="J226" s="10" t="inlineStr">
        <is>
          <t>416-364-0400</t>
        </is>
      </c>
      <c r="K226" s="10" t="inlineStr"/>
      <c r="L226" s="13" t="inlineStr">
        <is>
          <t>Free add-on treatment with a water circuit and massage booking.</t>
        </is>
      </c>
      <c r="M226" s="10" t="inlineStr">
        <is>
          <t>Not checked</t>
        </is>
      </c>
      <c r="N226" s="10" t="inlineStr">
        <is>
          <t>Target</t>
        </is>
      </c>
      <c r="S226" s="14" t="n"/>
      <c r="U226" s="14" t="n"/>
      <c r="X226" s="13" t="inlineStr"/>
      <c r="Y226" s="12" t="inlineStr">
        <is>
          <t>https://bodyblitzspa.com/</t>
        </is>
      </c>
    </row>
    <row r="227">
      <c r="A227" s="10" t="n">
        <v>226</v>
      </c>
      <c r="B227" s="10" t="n">
        <v>1</v>
      </c>
      <c r="C227" s="11" t="inlineStr">
        <is>
          <t>Living Water Therapies</t>
        </is>
      </c>
      <c r="D227" s="10" t="inlineStr">
        <is>
          <t>Leslieville</t>
        </is>
      </c>
      <c r="E227" s="10" t="inlineStr">
        <is>
          <t>Spa</t>
        </is>
      </c>
      <c r="F227" s="10" t="inlineStr">
        <is>
          <t>Massage clinic</t>
        </is>
      </c>
      <c r="G227" s="10" t="inlineStr">
        <is>
          <t>2-1114 Queen St E</t>
        </is>
      </c>
      <c r="H227" s="10" t="inlineStr"/>
      <c r="I227" s="10" t="inlineStr"/>
      <c r="J227" s="10" t="inlineStr"/>
      <c r="K227" s="10" t="inlineStr"/>
      <c r="L227" s="13" t="inlineStr">
        <is>
          <t>Free time extension on a massage booking.</t>
        </is>
      </c>
      <c r="M227" s="10" t="inlineStr">
        <is>
          <t>Not checked</t>
        </is>
      </c>
      <c r="N227" s="10" t="inlineStr">
        <is>
          <t>Target</t>
        </is>
      </c>
      <c r="S227" s="14" t="n"/>
      <c r="U227" s="14" t="n"/>
      <c r="X227" s="13" t="inlineStr">
        <is>
          <t>Check it's open before visiting: weak online evidence.</t>
        </is>
      </c>
      <c r="Y227" s="12" t="inlineStr">
        <is>
          <t>https://medimap.ca/clinics/osteopaths/on/toronto/living-water-therapies</t>
        </is>
      </c>
    </row>
    <row r="228">
      <c r="A228" s="10" t="n">
        <v>227</v>
      </c>
      <c r="B228" s="10" t="n">
        <v>1</v>
      </c>
      <c r="C228" s="11" t="inlineStr">
        <is>
          <t>The Scene Medical Beauty Bar</t>
        </is>
      </c>
      <c r="D228" s="10" t="inlineStr">
        <is>
          <t>Leslieville</t>
        </is>
      </c>
      <c r="E228" s="10" t="inlineStr">
        <is>
          <t>Spa</t>
        </is>
      </c>
      <c r="F228" s="10" t="inlineStr">
        <is>
          <t>Medical beauty bar</t>
        </is>
      </c>
      <c r="G228" s="10" t="inlineStr">
        <is>
          <t>1148 Queen St E</t>
        </is>
      </c>
      <c r="H228" s="12" t="inlineStr">
        <is>
          <t>https://scenebeauty.ca/</t>
        </is>
      </c>
      <c r="I228" s="12" t="inlineStr">
        <is>
          <t>@thescenemedicalbeautybar</t>
        </is>
      </c>
      <c r="J228" s="10" t="inlineStr"/>
      <c r="K228" s="10" t="inlineStr"/>
      <c r="L228" s="13" t="inlineStr">
        <is>
          <t>Free add-on with a facial, non-injectable services only.</t>
        </is>
      </c>
      <c r="M228" s="10" t="inlineStr">
        <is>
          <t>Not checked</t>
        </is>
      </c>
      <c r="N228" s="10" t="inlineStr">
        <is>
          <t>Target</t>
        </is>
      </c>
      <c r="S228" s="14" t="n"/>
      <c r="U228" s="14" t="n"/>
      <c r="X228" s="13" t="inlineStr"/>
      <c r="Y228" s="12" t="inlineStr">
        <is>
          <t>https://curiocity.com/toronto-spas-massages-facials/</t>
        </is>
      </c>
    </row>
    <row r="229">
      <c r="A229" s="10" t="n">
        <v>228</v>
      </c>
      <c r="B229" s="10" t="n">
        <v>1</v>
      </c>
      <c r="C229" s="11" t="inlineStr">
        <is>
          <t>Chi Junky</t>
        </is>
      </c>
      <c r="D229" s="10" t="inlineStr">
        <is>
          <t>Leslieville</t>
        </is>
      </c>
      <c r="E229" s="10" t="inlineStr">
        <is>
          <t>Studio</t>
        </is>
      </c>
      <c r="F229" s="10" t="inlineStr">
        <is>
          <t>Yoga and pilates</t>
        </is>
      </c>
      <c r="G229" s="10" t="inlineStr">
        <is>
          <t>70 McGee St</t>
        </is>
      </c>
      <c r="H229" s="12" t="inlineStr">
        <is>
          <t>https://www.chijunky.com/</t>
        </is>
      </c>
      <c r="I229" s="12" t="inlineStr">
        <is>
          <t>@chi_junky</t>
        </is>
      </c>
      <c r="J229" s="10" t="inlineStr"/>
      <c r="K229" s="10" t="inlineStr"/>
      <c r="L229" s="13" t="inlineStr">
        <is>
          <t>Bring a friend to class free.</t>
        </is>
      </c>
      <c r="M229" s="10" t="inlineStr">
        <is>
          <t>Not checked</t>
        </is>
      </c>
      <c r="N229" s="10" t="inlineStr">
        <is>
          <t>Target</t>
        </is>
      </c>
      <c r="S229" s="14" t="n"/>
      <c r="U229" s="14" t="n"/>
      <c r="X229" s="13" t="inlineStr"/>
      <c r="Y229" s="12" t="inlineStr">
        <is>
          <t>https://www.chijunky.com/</t>
        </is>
      </c>
    </row>
    <row r="230">
      <c r="A230" s="10" t="n">
        <v>229</v>
      </c>
      <c r="B230" s="10" t="n">
        <v>1</v>
      </c>
      <c r="C230" s="11" t="inlineStr">
        <is>
          <t>Coco Reformer Pilates</t>
        </is>
      </c>
      <c r="D230" s="10" t="inlineStr">
        <is>
          <t>Leslieville</t>
        </is>
      </c>
      <c r="E230" s="10" t="inlineStr">
        <is>
          <t>Studio</t>
        </is>
      </c>
      <c r="F230" s="10" t="inlineStr">
        <is>
          <t>Reformer pilates</t>
        </is>
      </c>
      <c r="G230" s="10" t="inlineStr">
        <is>
          <t>536 Eastern Ave</t>
        </is>
      </c>
      <c r="H230" s="10" t="inlineStr"/>
      <c r="I230" s="12" t="inlineStr">
        <is>
          <t>@coco.reformer.pilates</t>
        </is>
      </c>
      <c r="J230" s="10" t="inlineStr"/>
      <c r="K230" s="10" t="inlineStr"/>
      <c r="L230" s="13" t="inlineStr">
        <is>
          <t>Bring a friend to a reformer class free.</t>
        </is>
      </c>
      <c r="M230" s="10" t="inlineStr">
        <is>
          <t>Not checked</t>
        </is>
      </c>
      <c r="N230" s="10" t="inlineStr">
        <is>
          <t>Target</t>
        </is>
      </c>
      <c r="S230" s="14" t="n"/>
      <c r="U230" s="14" t="n"/>
      <c r="X230" s="13" t="inlineStr">
        <is>
          <t>Check it's open before visiting: weak online evidence.</t>
        </is>
      </c>
      <c r="Y230" s="12" t="inlineStr">
        <is>
          <t>https://curiocity.com/coco-reformer-pilates-toronto-ontario/</t>
        </is>
      </c>
    </row>
    <row r="231">
      <c r="A231" s="10" t="n">
        <v>230</v>
      </c>
      <c r="B231" s="10" t="n">
        <v>1</v>
      </c>
      <c r="C231" s="11" t="inlineStr">
        <is>
          <t>CoreWorks Pilates and Physiotherapy</t>
        </is>
      </c>
      <c r="D231" s="10" t="inlineStr">
        <is>
          <t>Leslieville</t>
        </is>
      </c>
      <c r="E231" s="10" t="inlineStr">
        <is>
          <t>Studio</t>
        </is>
      </c>
      <c r="F231" s="10" t="inlineStr">
        <is>
          <t>Reformer pilates</t>
        </is>
      </c>
      <c r="G231" s="10" t="inlineStr">
        <is>
          <t>276 Carlaw Ave</t>
        </is>
      </c>
      <c r="H231" s="12" t="inlineStr">
        <is>
          <t>https://yourcoreworks.com/</t>
        </is>
      </c>
      <c r="I231" s="12" t="inlineStr">
        <is>
          <t>@yourcoreworks</t>
        </is>
      </c>
      <c r="J231" s="10" t="inlineStr"/>
      <c r="K231" s="10" t="inlineStr"/>
      <c r="L231" s="13" t="inlineStr">
        <is>
          <t>Bring a friend to a group reformer class free.</t>
        </is>
      </c>
      <c r="M231" s="10" t="inlineStr">
        <is>
          <t>Not checked</t>
        </is>
      </c>
      <c r="N231" s="10" t="inlineStr">
        <is>
          <t>Target</t>
        </is>
      </c>
      <c r="S231" s="14" t="n"/>
      <c r="U231" s="14" t="n"/>
      <c r="X231" s="13" t="inlineStr"/>
      <c r="Y231" s="12" t="inlineStr">
        <is>
          <t>https://yourcoreworks.com/</t>
        </is>
      </c>
    </row>
    <row r="232">
      <c r="A232" s="10" t="n">
        <v>231</v>
      </c>
      <c r="B232" s="10" t="n">
        <v>1</v>
      </c>
      <c r="C232" s="11" t="inlineStr">
        <is>
          <t>galeria pilates + coffee</t>
        </is>
      </c>
      <c r="D232" s="10" t="inlineStr">
        <is>
          <t>Leslieville</t>
        </is>
      </c>
      <c r="E232" s="10" t="inlineStr">
        <is>
          <t>Studio</t>
        </is>
      </c>
      <c r="F232" s="10" t="inlineStr">
        <is>
          <t>Reformer pilates</t>
        </is>
      </c>
      <c r="G232" s="10" t="inlineStr">
        <is>
          <t>998 Queen St E</t>
        </is>
      </c>
      <c r="H232" s="10" t="inlineStr"/>
      <c r="I232" s="12" t="inlineStr">
        <is>
          <t>@galeriamovement</t>
        </is>
      </c>
      <c r="J232" s="10" t="inlineStr"/>
      <c r="K232" s="10" t="inlineStr"/>
      <c r="L232" s="13" t="inlineStr">
        <is>
          <t>Bring a friend to class free, with a coffee after.</t>
        </is>
      </c>
      <c r="M232" s="10" t="inlineStr">
        <is>
          <t>Not checked</t>
        </is>
      </c>
      <c r="N232" s="10" t="inlineStr">
        <is>
          <t>Target</t>
        </is>
      </c>
      <c r="S232" s="14" t="n"/>
      <c r="U232" s="14" t="n"/>
      <c r="X232" s="13" t="inlineStr">
        <is>
          <t>Check it's open before visiting: weak online evidence.</t>
        </is>
      </c>
      <c r="Y232" s="12" t="inlineStr">
        <is>
          <t>https://ma.to/venue/galeriamovement</t>
        </is>
      </c>
    </row>
    <row r="233">
      <c r="A233" s="10" t="n">
        <v>232</v>
      </c>
      <c r="B233" s="10" t="n">
        <v>1</v>
      </c>
      <c r="C233" s="11" t="inlineStr">
        <is>
          <t>Rise Cycle (Leslieville)</t>
        </is>
      </c>
      <c r="D233" s="10" t="inlineStr">
        <is>
          <t>Leslieville</t>
        </is>
      </c>
      <c r="E233" s="10" t="inlineStr">
        <is>
          <t>Studio</t>
        </is>
      </c>
      <c r="F233" s="10" t="inlineStr">
        <is>
          <t>Indoor cycling</t>
        </is>
      </c>
      <c r="G233" s="10" t="inlineStr">
        <is>
          <t>672 Queen St E</t>
        </is>
      </c>
      <c r="H233" s="12" t="inlineStr">
        <is>
          <t>https://www.risecycle.ca/</t>
        </is>
      </c>
      <c r="I233" s="12" t="inlineStr">
        <is>
          <t>@risecycle</t>
        </is>
      </c>
      <c r="J233" s="10" t="inlineStr"/>
      <c r="K233" s="10" t="inlineStr"/>
      <c r="L233" s="13" t="inlineStr">
        <is>
          <t>Bring a friend to a ride free.</t>
        </is>
      </c>
      <c r="M233" s="10" t="inlineStr">
        <is>
          <t>Not checked</t>
        </is>
      </c>
      <c r="N233" s="10" t="inlineStr">
        <is>
          <t>Target</t>
        </is>
      </c>
      <c r="S233" s="14" t="n"/>
      <c r="U233" s="14" t="n"/>
      <c r="X233" s="13" t="inlineStr"/>
      <c r="Y233" s="12" t="inlineStr">
        <is>
          <t>https://www.risecycle.ca/</t>
        </is>
      </c>
    </row>
    <row r="234">
      <c r="A234" s="10" t="n">
        <v>233</v>
      </c>
      <c r="B234" s="10" t="n">
        <v>1</v>
      </c>
      <c r="C234" s="11" t="inlineStr">
        <is>
          <t>Setu Yoga Studio</t>
        </is>
      </c>
      <c r="D234" s="10" t="inlineStr">
        <is>
          <t>Leslieville</t>
        </is>
      </c>
      <c r="E234" s="10" t="inlineStr">
        <is>
          <t>Studio</t>
        </is>
      </c>
      <c r="F234" s="10" t="inlineStr">
        <is>
          <t>Yoga</t>
        </is>
      </c>
      <c r="G234" s="10" t="inlineStr">
        <is>
          <t>1201 Dundas St E</t>
        </is>
      </c>
      <c r="H234" s="12" t="inlineStr">
        <is>
          <t>https://setu.ca/</t>
        </is>
      </c>
      <c r="I234" s="10" t="inlineStr"/>
      <c r="J234" s="10" t="inlineStr"/>
      <c r="K234" s="10" t="inlineStr"/>
      <c r="L234" s="13" t="inlineStr">
        <is>
          <t>Bring a friend to class free.</t>
        </is>
      </c>
      <c r="M234" s="10" t="inlineStr">
        <is>
          <t>Not checked</t>
        </is>
      </c>
      <c r="N234" s="10" t="inlineStr">
        <is>
          <t>Target</t>
        </is>
      </c>
      <c r="S234" s="14" t="n"/>
      <c r="U234" s="14" t="n"/>
      <c r="X234" s="13" t="inlineStr"/>
      <c r="Y234" s="12" t="inlineStr">
        <is>
          <t>https://setu.ca/</t>
        </is>
      </c>
    </row>
    <row r="235">
      <c r="A235" s="10" t="n">
        <v>234</v>
      </c>
      <c r="B235" s="10" t="n">
        <v>1</v>
      </c>
      <c r="C235" s="11" t="inlineStr">
        <is>
          <t>The Extension Room</t>
        </is>
      </c>
      <c r="D235" s="10" t="inlineStr">
        <is>
          <t>Leslieville</t>
        </is>
      </c>
      <c r="E235" s="10" t="inlineStr">
        <is>
          <t>Studio</t>
        </is>
      </c>
      <c r="F235" s="10" t="inlineStr">
        <is>
          <t>Barre (Extension Method)</t>
        </is>
      </c>
      <c r="G235" s="10" t="inlineStr">
        <is>
          <t>388 Carlaw Ave</t>
        </is>
      </c>
      <c r="H235" s="12" t="inlineStr">
        <is>
          <t>https://www.extensionmethod.com/</t>
        </is>
      </c>
      <c r="I235" s="12" t="inlineStr">
        <is>
          <t>@extensionroom</t>
        </is>
      </c>
      <c r="J235" s="10" t="inlineStr">
        <is>
          <t>416-995-7041</t>
        </is>
      </c>
      <c r="K235" s="10" t="inlineStr"/>
      <c r="L235" s="13" t="inlineStr">
        <is>
          <t>Bring a friend to class free.</t>
        </is>
      </c>
      <c r="M235" s="10" t="inlineStr">
        <is>
          <t>Not checked</t>
        </is>
      </c>
      <c r="N235" s="10" t="inlineStr">
        <is>
          <t>Target</t>
        </is>
      </c>
      <c r="S235" s="14" t="n"/>
      <c r="U235" s="14" t="n"/>
      <c r="X235" s="13" t="inlineStr"/>
      <c r="Y235" s="12" t="inlineStr">
        <is>
          <t>https://www.extensionmethod.com/</t>
        </is>
      </c>
    </row>
    <row r="236">
      <c r="A236" s="10" t="n">
        <v>235</v>
      </c>
      <c r="B236" s="10" t="n">
        <v>1</v>
      </c>
      <c r="C236" s="11" t="inlineStr">
        <is>
          <t>The Broadview Hotel</t>
        </is>
      </c>
      <c r="D236" s="10" t="inlineStr">
        <is>
          <t>Leslieville</t>
        </is>
      </c>
      <c r="E236" s="10" t="inlineStr">
        <is>
          <t>Hotel restaurant or spa</t>
        </is>
      </c>
      <c r="F236" s="10" t="inlineStr">
        <is>
          <t>Hotel restaurant (bistro and rooftop)</t>
        </is>
      </c>
      <c r="G236" s="10" t="inlineStr">
        <is>
          <t>106 Broadview Ave</t>
        </is>
      </c>
      <c r="H236" s="12" t="inlineStr">
        <is>
          <t>https://www.thebroadviewhotel.ca/</t>
        </is>
      </c>
      <c r="I236" s="12" t="inlineStr">
        <is>
          <t>@broadviewhotel</t>
        </is>
      </c>
      <c r="J236" s="10" t="inlineStr"/>
      <c r="K236" s="10" t="inlineStr"/>
      <c r="L236" s="13" t="inlineStr">
        <is>
          <t>Second main on us at the bistro, weekdays.</t>
        </is>
      </c>
      <c r="M236" s="10" t="inlineStr">
        <is>
          <t>Not checked</t>
        </is>
      </c>
      <c r="N236" s="10" t="inlineStr">
        <is>
          <t>Target</t>
        </is>
      </c>
      <c r="S236" s="14" t="n"/>
      <c r="U236" s="14" t="n"/>
      <c r="X236" s="13" t="inlineStr"/>
      <c r="Y236" s="12" t="inlineStr">
        <is>
          <t>https://www.thebroadviewhotel.ca/</t>
        </is>
      </c>
    </row>
    <row r="237">
      <c r="A237" s="10" t="n">
        <v>236</v>
      </c>
      <c r="B237" s="10" t="n">
        <v>2</v>
      </c>
      <c r="C237" s="11" t="inlineStr">
        <is>
          <t>Aangan</t>
        </is>
      </c>
      <c r="D237" s="10" t="inlineStr">
        <is>
          <t>Little Italy</t>
        </is>
      </c>
      <c r="E237" s="10" t="inlineStr">
        <is>
          <t>Restaurant</t>
        </is>
      </c>
      <c r="F237" s="10" t="inlineStr">
        <is>
          <t>Indian</t>
        </is>
      </c>
      <c r="G237" s="10" t="inlineStr">
        <is>
          <t>556 College St.</t>
        </is>
      </c>
      <c r="H237" s="12" t="inlineStr">
        <is>
          <t>https://aangantoronto.ca/</t>
        </is>
      </c>
      <c r="I237" s="12" t="inlineStr">
        <is>
          <t>@aangantoronto</t>
        </is>
      </c>
      <c r="J237" s="10" t="inlineStr">
        <is>
          <t>(416) 926-9554</t>
        </is>
      </c>
      <c r="K237" s="10" t="inlineStr"/>
      <c r="L237" s="13" t="inlineStr">
        <is>
          <t>Indian restaurant reviewed in 2026, good for shared plates.</t>
        </is>
      </c>
      <c r="M237" s="10" t="inlineStr">
        <is>
          <t>Not checked</t>
        </is>
      </c>
      <c r="N237" s="10" t="inlineStr">
        <is>
          <t>Target</t>
        </is>
      </c>
      <c r="S237" s="14" t="n"/>
      <c r="U237" s="14" t="n"/>
      <c r="X237" s="13" t="inlineStr"/>
      <c r="Y237" s="12" t="inlineStr">
        <is>
          <t>https://www.blogto.com/restaurants/aangan-toronto/</t>
        </is>
      </c>
    </row>
    <row r="238">
      <c r="A238" s="10" t="n">
        <v>237</v>
      </c>
      <c r="B238" s="10" t="n">
        <v>2</v>
      </c>
      <c r="C238" s="11" t="inlineStr">
        <is>
          <t>Bar Isabel</t>
        </is>
      </c>
      <c r="D238" s="10" t="inlineStr">
        <is>
          <t>Little Italy</t>
        </is>
      </c>
      <c r="E238" s="10" t="inlineStr">
        <is>
          <t>Restaurant</t>
        </is>
      </c>
      <c r="F238" s="10" t="inlineStr">
        <is>
          <t>Spanish</t>
        </is>
      </c>
      <c r="G238" s="10" t="inlineStr">
        <is>
          <t>797 College St</t>
        </is>
      </c>
      <c r="H238" s="12" t="inlineStr">
        <is>
          <t>https://barisabel.com/</t>
        </is>
      </c>
      <c r="I238" s="10" t="inlineStr"/>
      <c r="J238" s="10" t="inlineStr">
        <is>
          <t>416.532.2222</t>
        </is>
      </c>
      <c r="K238" s="10" t="inlineStr">
        <is>
          <t>$$$</t>
        </is>
      </c>
      <c r="L238" s="13" t="inlineStr">
        <is>
          <t>Michelin-listed Spanish restaurant with a strong food reputation.</t>
        </is>
      </c>
      <c r="M238" s="10" t="inlineStr">
        <is>
          <t>Not checked</t>
        </is>
      </c>
      <c r="N238" s="10" t="inlineStr">
        <is>
          <t>Target</t>
        </is>
      </c>
      <c r="S238" s="14" t="n"/>
      <c r="U238" s="14" t="n"/>
      <c r="X238" s="13" t="inlineStr"/>
      <c r="Y238" s="12" t="inlineStr">
        <is>
          <t>https://barisabel.com/</t>
        </is>
      </c>
    </row>
    <row r="239">
      <c r="A239" s="10" t="n">
        <v>238</v>
      </c>
      <c r="B239" s="10" t="n">
        <v>2</v>
      </c>
      <c r="C239" s="11" t="inlineStr">
        <is>
          <t>Cafe Diplomatico</t>
        </is>
      </c>
      <c r="D239" s="10" t="inlineStr">
        <is>
          <t>Little Italy</t>
        </is>
      </c>
      <c r="E239" s="10" t="inlineStr">
        <is>
          <t>Restaurant</t>
        </is>
      </c>
      <c r="F239" s="10" t="inlineStr">
        <is>
          <t>Italian</t>
        </is>
      </c>
      <c r="G239" s="10" t="inlineStr">
        <is>
          <t>594 College Street</t>
        </is>
      </c>
      <c r="H239" s="10" t="inlineStr"/>
      <c r="I239" s="10" t="inlineStr"/>
      <c r="J239" s="10" t="inlineStr">
        <is>
          <t>416.534.4637</t>
        </is>
      </c>
      <c r="K239" s="10" t="inlineStr"/>
      <c r="L239" s="13" t="inlineStr">
        <is>
          <t>Neighbourhood landmark with a big patio and steady foot traffic.</t>
        </is>
      </c>
      <c r="M239" s="10" t="inlineStr">
        <is>
          <t>Not checked</t>
        </is>
      </c>
      <c r="N239" s="10" t="inlineStr">
        <is>
          <t>Target</t>
        </is>
      </c>
      <c r="S239" s="14" t="n"/>
      <c r="U239" s="14" t="n"/>
      <c r="X239" s="13" t="inlineStr"/>
      <c r="Y239" s="12" t="inlineStr">
        <is>
          <t>https://catherinemortimer.ca/blog/the-address-swap-reading-college-streets-2026-turnover-one-storefront-at-a-time</t>
        </is>
      </c>
    </row>
    <row r="240">
      <c r="A240" s="10" t="n">
        <v>239</v>
      </c>
      <c r="B240" s="10" t="n">
        <v>2</v>
      </c>
      <c r="C240" s="11" t="inlineStr">
        <is>
          <t>Chez Wa</t>
        </is>
      </c>
      <c r="D240" s="10" t="inlineStr">
        <is>
          <t>Little Italy</t>
        </is>
      </c>
      <c r="E240" s="10" t="inlineStr">
        <is>
          <t>Restaurant</t>
        </is>
      </c>
      <c r="F240" s="10" t="inlineStr"/>
      <c r="G240" s="10" t="inlineStr">
        <is>
          <t>617 College St</t>
        </is>
      </c>
      <c r="H240" s="10" t="inlineStr"/>
      <c r="I240" s="10" t="inlineStr"/>
      <c r="J240" s="10" t="inlineStr"/>
      <c r="K240" s="10" t="inlineStr"/>
      <c r="L240" s="13" t="inlineStr">
        <is>
          <t>New College St opening from spring 2026 that may want to build regulars.</t>
        </is>
      </c>
      <c r="M240" s="10" t="inlineStr">
        <is>
          <t>Not checked</t>
        </is>
      </c>
      <c r="N240" s="10" t="inlineStr">
        <is>
          <t>Target</t>
        </is>
      </c>
      <c r="S240" s="14" t="n"/>
      <c r="U240" s="14" t="n"/>
      <c r="X240" s="13" t="inlineStr"/>
      <c r="Y240" s="12" t="inlineStr">
        <is>
          <t>https://catherinemortimer.ca/blog/the-address-swap-reading-college-streets-2026-turnover-one-storefront-at-a-time</t>
        </is>
      </c>
    </row>
    <row r="241">
      <c r="A241" s="10" t="n">
        <v>240</v>
      </c>
      <c r="B241" s="10" t="n">
        <v>2</v>
      </c>
      <c r="C241" s="11" t="inlineStr">
        <is>
          <t>Conejo Negro</t>
        </is>
      </c>
      <c r="D241" s="10" t="inlineStr">
        <is>
          <t>Little Italy</t>
        </is>
      </c>
      <c r="E241" s="10" t="inlineStr">
        <is>
          <t>Restaurant</t>
        </is>
      </c>
      <c r="F241" s="10" t="inlineStr">
        <is>
          <t>Caribbean</t>
        </is>
      </c>
      <c r="G241" s="10" t="inlineStr">
        <is>
          <t>838 College St</t>
        </is>
      </c>
      <c r="H241" s="10" t="inlineStr"/>
      <c r="I241" s="12" t="inlineStr">
        <is>
          <t>@conejonegro_to</t>
        </is>
      </c>
      <c r="J241" s="10" t="inlineStr">
        <is>
          <t>416.637.3868</t>
        </is>
      </c>
      <c r="K241" s="10" t="inlineStr">
        <is>
          <t>$$</t>
        </is>
      </c>
      <c r="L241" s="13" t="inlineStr">
        <is>
          <t>Bib Gourmand Caribbean spot, good value for a bring-someone dinner.</t>
        </is>
      </c>
      <c r="M241" s="10" t="inlineStr">
        <is>
          <t>Not checked</t>
        </is>
      </c>
      <c r="N241" s="10" t="inlineStr">
        <is>
          <t>Target</t>
        </is>
      </c>
      <c r="S241" s="14" t="n"/>
      <c r="U241" s="14" t="n"/>
      <c r="X241" s="13" t="inlineStr"/>
      <c r="Y241" s="12" t="inlineStr">
        <is>
          <t>https://www.destinationtoronto.com/restaurants/michelin/</t>
        </is>
      </c>
    </row>
    <row r="242">
      <c r="A242" s="10" t="n">
        <v>241</v>
      </c>
      <c r="B242" s="10" t="n">
        <v>2</v>
      </c>
      <c r="C242" s="11" t="inlineStr">
        <is>
          <t>Contrada</t>
        </is>
      </c>
      <c r="D242" s="10" t="inlineStr">
        <is>
          <t>Little Italy</t>
        </is>
      </c>
      <c r="E242" s="10" t="inlineStr">
        <is>
          <t>Restaurant</t>
        </is>
      </c>
      <c r="F242" s="10" t="inlineStr">
        <is>
          <t>Italian</t>
        </is>
      </c>
      <c r="G242" s="10" t="inlineStr">
        <is>
          <t>537 College Street</t>
        </is>
      </c>
      <c r="H242" s="12" t="inlineStr">
        <is>
          <t>https://www.contradarestaurant.com/</t>
        </is>
      </c>
      <c r="I242" s="12" t="inlineStr">
        <is>
          <t>@contrada.to</t>
        </is>
      </c>
      <c r="J242" s="10" t="inlineStr">
        <is>
          <t>416-519-3455</t>
        </is>
      </c>
      <c r="K242" s="10" t="inlineStr"/>
      <c r="L242" s="13" t="inlineStr">
        <is>
          <t>Award-winning modern Italian that fits a premium date night.</t>
        </is>
      </c>
      <c r="M242" s="10" t="inlineStr">
        <is>
          <t>Not checked</t>
        </is>
      </c>
      <c r="N242" s="10" t="inlineStr">
        <is>
          <t>Target</t>
        </is>
      </c>
      <c r="S242" s="14" t="n"/>
      <c r="U242" s="14" t="n"/>
      <c r="X242" s="13" t="inlineStr"/>
      <c r="Y242" s="12" t="inlineStr">
        <is>
          <t>https://catherinemortimer.ca/blog/the-address-swap-reading-college-streets-2026-turnover-one-storefront-at-a-time</t>
        </is>
      </c>
    </row>
    <row r="243">
      <c r="A243" s="10" t="n">
        <v>242</v>
      </c>
      <c r="B243" s="10" t="n">
        <v>2</v>
      </c>
      <c r="C243" s="11" t="inlineStr">
        <is>
          <t>DaiLo</t>
        </is>
      </c>
      <c r="D243" s="10" t="inlineStr">
        <is>
          <t>Little Italy</t>
        </is>
      </c>
      <c r="E243" s="10" t="inlineStr">
        <is>
          <t>Restaurant</t>
        </is>
      </c>
      <c r="F243" s="10" t="inlineStr">
        <is>
          <t>Asian-French fusion</t>
        </is>
      </c>
      <c r="G243" s="10" t="inlineStr">
        <is>
          <t>503 College St.</t>
        </is>
      </c>
      <c r="H243" s="12" t="inlineStr">
        <is>
          <t>https://www.dailoto.com/</t>
        </is>
      </c>
      <c r="I243" s="12" t="inlineStr">
        <is>
          <t>@dailo.to</t>
        </is>
      </c>
      <c r="J243" s="10" t="inlineStr">
        <is>
          <t>647.341.8882</t>
        </is>
      </c>
      <c r="K243" s="10" t="inlineStr"/>
      <c r="L243" s="13" t="inlineStr">
        <is>
          <t>Chef-led Asian fusion with a tasting menu, a premium fit.</t>
        </is>
      </c>
      <c r="M243" s="10" t="inlineStr">
        <is>
          <t>Not checked</t>
        </is>
      </c>
      <c r="N243" s="10" t="inlineStr">
        <is>
          <t>Target</t>
        </is>
      </c>
      <c r="S243" s="14" t="n"/>
      <c r="U243" s="14" t="n"/>
      <c r="X243" s="13" t="inlineStr">
        <is>
          <t>Check it's open before visiting: weak online evidence.</t>
        </is>
      </c>
      <c r="Y243" s="12" t="inlineStr">
        <is>
          <t>https://www.dailoto.com/</t>
        </is>
      </c>
    </row>
    <row r="244">
      <c r="A244" s="10" t="n">
        <v>243</v>
      </c>
      <c r="B244" s="10" t="n">
        <v>2</v>
      </c>
      <c r="C244" s="11" t="inlineStr">
        <is>
          <t>DaNico</t>
        </is>
      </c>
      <c r="D244" s="10" t="inlineStr">
        <is>
          <t>Little Italy</t>
        </is>
      </c>
      <c r="E244" s="10" t="inlineStr">
        <is>
          <t>Restaurant</t>
        </is>
      </c>
      <c r="F244" s="10" t="inlineStr">
        <is>
          <t>Italian</t>
        </is>
      </c>
      <c r="G244" s="10" t="inlineStr">
        <is>
          <t>440 College St.</t>
        </is>
      </c>
      <c r="H244" s="12" t="inlineStr">
        <is>
          <t>https://www.danicotoronto.com/</t>
        </is>
      </c>
      <c r="I244" s="10" t="inlineStr"/>
      <c r="J244" s="10" t="inlineStr">
        <is>
          <t>647.715.1200</t>
        </is>
      </c>
      <c r="K244" s="10" t="inlineStr">
        <is>
          <t>$$$$</t>
        </is>
      </c>
      <c r="L244" s="13" t="inlineStr">
        <is>
          <t>Michelin-starred Italian tasting room, a true special-occasion draw.</t>
        </is>
      </c>
      <c r="M244" s="10" t="inlineStr">
        <is>
          <t>Not checked</t>
        </is>
      </c>
      <c r="N244" s="10" t="inlineStr">
        <is>
          <t>Target</t>
        </is>
      </c>
      <c r="S244" s="14" t="n"/>
      <c r="U244" s="14" t="n"/>
      <c r="X244" s="13" t="inlineStr"/>
      <c r="Y244" s="12" t="inlineStr">
        <is>
          <t>https://www.destinationtoronto.com/restaurants/michelin/</t>
        </is>
      </c>
    </row>
    <row r="245">
      <c r="A245" s="10" t="n">
        <v>244</v>
      </c>
      <c r="B245" s="10" t="n">
        <v>2</v>
      </c>
      <c r="C245" s="11" t="inlineStr">
        <is>
          <t>N.L. Ginzburg</t>
        </is>
      </c>
      <c r="D245" s="10" t="inlineStr">
        <is>
          <t>Little Italy</t>
        </is>
      </c>
      <c r="E245" s="10" t="inlineStr">
        <is>
          <t>Restaurant</t>
        </is>
      </c>
      <c r="F245" s="10" t="inlineStr">
        <is>
          <t>Italian</t>
        </is>
      </c>
      <c r="G245" s="10" t="inlineStr">
        <is>
          <t>548 College St.</t>
        </is>
      </c>
      <c r="H245" s="12" t="inlineStr">
        <is>
          <t>https://nlginzburg.com/</t>
        </is>
      </c>
      <c r="I245" s="12" t="inlineStr">
        <is>
          <t>@nlginzburg</t>
        </is>
      </c>
      <c r="J245" s="10" t="inlineStr">
        <is>
          <t>(416) 929-4646</t>
        </is>
      </c>
      <c r="K245" s="10" t="inlineStr"/>
      <c r="L245" s="13" t="inlineStr">
        <is>
          <t>Italian spot listed in 2025, a likely fit for a second-main offer.</t>
        </is>
      </c>
      <c r="M245" s="10" t="inlineStr">
        <is>
          <t>Not checked</t>
        </is>
      </c>
      <c r="N245" s="10" t="inlineStr">
        <is>
          <t>Target</t>
        </is>
      </c>
      <c r="S245" s="14" t="n"/>
      <c r="U245" s="14" t="n"/>
      <c r="X245" s="13" t="inlineStr"/>
      <c r="Y245" s="12" t="inlineStr">
        <is>
          <t>https://www.blogto.com/restaurants/nl-ginzburg-toronto/</t>
        </is>
      </c>
    </row>
    <row r="246">
      <c r="A246" s="10" t="n">
        <v>245</v>
      </c>
      <c r="B246" s="10" t="n">
        <v>2</v>
      </c>
      <c r="C246" s="11" t="inlineStr">
        <is>
          <t>Naari Thai BBQ</t>
        </is>
      </c>
      <c r="D246" s="10" t="inlineStr">
        <is>
          <t>Little Italy</t>
        </is>
      </c>
      <c r="E246" s="10" t="inlineStr">
        <is>
          <t>Restaurant</t>
        </is>
      </c>
      <c r="F246" s="10" t="inlineStr">
        <is>
          <t>Thai</t>
        </is>
      </c>
      <c r="G246" s="10" t="inlineStr">
        <is>
          <t>501 College St</t>
        </is>
      </c>
      <c r="H246" s="10" t="inlineStr"/>
      <c r="I246" s="10" t="inlineStr"/>
      <c r="J246" s="10" t="inlineStr"/>
      <c r="K246" s="10" t="inlineStr"/>
      <c r="L246" s="13" t="inlineStr">
        <is>
          <t>New Thai BBQ opening on College St, a fresh name for members to try.</t>
        </is>
      </c>
      <c r="M246" s="10" t="inlineStr">
        <is>
          <t>Not checked</t>
        </is>
      </c>
      <c r="N246" s="10" t="inlineStr">
        <is>
          <t>Target</t>
        </is>
      </c>
      <c r="S246" s="14" t="n"/>
      <c r="U246" s="14" t="n"/>
      <c r="X246" s="13" t="inlineStr"/>
      <c r="Y246" s="12" t="inlineStr">
        <is>
          <t>https://catherinemortimer.ca/blog/the-address-swap-reading-college-streets-2026-turnover-one-storefront-at-a-time</t>
        </is>
      </c>
    </row>
    <row r="247">
      <c r="A247" s="10" t="n">
        <v>246</v>
      </c>
      <c r="B247" s="10" t="n">
        <v>2</v>
      </c>
      <c r="C247" s="11" t="inlineStr">
        <is>
          <t>Osteria Alba</t>
        </is>
      </c>
      <c r="D247" s="10" t="inlineStr">
        <is>
          <t>Little Italy</t>
        </is>
      </c>
      <c r="E247" s="10" t="inlineStr">
        <is>
          <t>Restaurant</t>
        </is>
      </c>
      <c r="F247" s="10" t="inlineStr">
        <is>
          <t>Italian</t>
        </is>
      </c>
      <c r="G247" s="10" t="inlineStr">
        <is>
          <t>665 College St.</t>
        </is>
      </c>
      <c r="H247" s="12" t="inlineStr">
        <is>
          <t>https://osteriaalba.ca/</t>
        </is>
      </c>
      <c r="I247" s="12" t="inlineStr">
        <is>
          <t>@osteriaalbatoronto</t>
        </is>
      </c>
      <c r="J247" s="10" t="inlineStr">
        <is>
          <t>416.395.3999</t>
        </is>
      </c>
      <c r="K247" s="10" t="inlineStr"/>
      <c r="L247" s="13" t="inlineStr">
        <is>
          <t>New Italian room opened in 2026 that may want early regulars.</t>
        </is>
      </c>
      <c r="M247" s="10" t="inlineStr">
        <is>
          <t>Not checked</t>
        </is>
      </c>
      <c r="N247" s="10" t="inlineStr">
        <is>
          <t>Target</t>
        </is>
      </c>
      <c r="S247" s="14" t="n"/>
      <c r="U247" s="14" t="n"/>
      <c r="X247" s="13" t="inlineStr"/>
      <c r="Y247" s="12" t="inlineStr">
        <is>
          <t>https://catherinemortimer.ca/blog/the-address-swap-reading-college-streets-2026-turnover-one-storefront-at-a-time</t>
        </is>
      </c>
    </row>
    <row r="248">
      <c r="A248" s="10" t="n">
        <v>247</v>
      </c>
      <c r="B248" s="10" t="n">
        <v>2</v>
      </c>
      <c r="C248" s="11" t="inlineStr">
        <is>
          <t>Quetzal</t>
        </is>
      </c>
      <c r="D248" s="10" t="inlineStr">
        <is>
          <t>Little Italy</t>
        </is>
      </c>
      <c r="E248" s="10" t="inlineStr">
        <is>
          <t>Restaurant</t>
        </is>
      </c>
      <c r="F248" s="10" t="inlineStr">
        <is>
          <t>Mexican</t>
        </is>
      </c>
      <c r="G248" s="10" t="inlineStr">
        <is>
          <t>419 College Street</t>
        </is>
      </c>
      <c r="H248" s="12" t="inlineStr">
        <is>
          <t>https://quetzaltoronto.com/</t>
        </is>
      </c>
      <c r="I248" s="12" t="inlineStr">
        <is>
          <t>@quetzaltoronto</t>
        </is>
      </c>
      <c r="J248" s="10" t="inlineStr">
        <is>
          <t>647.347.3663</t>
        </is>
      </c>
      <c r="K248" s="10" t="inlineStr"/>
      <c r="L248" s="13" t="inlineStr">
        <is>
          <t>Michelin-starred wood-fire Mexican that would give the pass instant credibility.</t>
        </is>
      </c>
      <c r="M248" s="10" t="inlineStr">
        <is>
          <t>Not checked</t>
        </is>
      </c>
      <c r="N248" s="10" t="inlineStr">
        <is>
          <t>Target</t>
        </is>
      </c>
      <c r="S248" s="14" t="n"/>
      <c r="U248" s="14" t="n"/>
      <c r="X248" s="13" t="inlineStr"/>
      <c r="Y248" s="12" t="inlineStr">
        <is>
          <t>https://www.destinationtoronto.com/restaurants/michelin/</t>
        </is>
      </c>
    </row>
    <row r="249">
      <c r="A249" s="10" t="n">
        <v>248</v>
      </c>
      <c r="B249" s="10" t="n">
        <v>2</v>
      </c>
      <c r="C249" s="11" t="inlineStr">
        <is>
          <t>Radici Project</t>
        </is>
      </c>
      <c r="D249" s="10" t="inlineStr">
        <is>
          <t>Little Italy</t>
        </is>
      </c>
      <c r="E249" s="10" t="inlineStr">
        <is>
          <t>Restaurant</t>
        </is>
      </c>
      <c r="F249" s="10" t="inlineStr">
        <is>
          <t>Eclectic</t>
        </is>
      </c>
      <c r="G249" s="10" t="inlineStr">
        <is>
          <t>588 College St</t>
        </is>
      </c>
      <c r="H249" s="12" t="inlineStr">
        <is>
          <t>https://radiciproject.ca/</t>
        </is>
      </c>
      <c r="I249" s="10" t="inlineStr"/>
      <c r="J249" s="10" t="inlineStr">
        <is>
          <t>416-792-1550</t>
        </is>
      </c>
      <c r="K249" s="10" t="inlineStr"/>
      <c r="L249" s="13" t="inlineStr">
        <is>
          <t>Newer College St restaurant that may want early members.</t>
        </is>
      </c>
      <c r="M249" s="10" t="inlineStr">
        <is>
          <t>Not checked</t>
        </is>
      </c>
      <c r="N249" s="10" t="inlineStr">
        <is>
          <t>Target</t>
        </is>
      </c>
      <c r="S249" s="14" t="n"/>
      <c r="U249" s="14" t="n"/>
      <c r="X249" s="13" t="inlineStr"/>
      <c r="Y249" s="12" t="inlineStr">
        <is>
          <t>https://www.blogto.com/restaurants/radici-project/</t>
        </is>
      </c>
    </row>
    <row r="250">
      <c r="A250" s="10" t="n">
        <v>249</v>
      </c>
      <c r="B250" s="10" t="n">
        <v>2</v>
      </c>
      <c r="C250" s="11" t="inlineStr">
        <is>
          <t>Sal's Pasta &amp; Chops</t>
        </is>
      </c>
      <c r="D250" s="10" t="inlineStr">
        <is>
          <t>Little Italy</t>
        </is>
      </c>
      <c r="E250" s="10" t="inlineStr">
        <is>
          <t>Restaurant</t>
        </is>
      </c>
      <c r="F250" s="10" t="inlineStr">
        <is>
          <t>Italian</t>
        </is>
      </c>
      <c r="G250" s="10" t="inlineStr">
        <is>
          <t>614 College St</t>
        </is>
      </c>
      <c r="H250" s="12" t="inlineStr">
        <is>
          <t>https://www.dinnerwithsal.com/menu</t>
        </is>
      </c>
      <c r="I250" s="10" t="inlineStr"/>
      <c r="J250" s="10" t="inlineStr">
        <is>
          <t>416.531.7887</t>
        </is>
      </c>
      <c r="K250" s="10" t="inlineStr"/>
      <c r="L250" s="13" t="inlineStr">
        <is>
          <t>Pasta and chops spot made for sharing a table.</t>
        </is>
      </c>
      <c r="M250" s="10" t="inlineStr">
        <is>
          <t>Not checked</t>
        </is>
      </c>
      <c r="N250" s="10" t="inlineStr">
        <is>
          <t>Target</t>
        </is>
      </c>
      <c r="S250" s="14" t="n"/>
      <c r="U250" s="14" t="n"/>
      <c r="X250" s="13" t="inlineStr"/>
      <c r="Y250" s="12" t="inlineStr">
        <is>
          <t>https://catherinemortimer.ca/blog/the-address-swap-reading-college-streets-2026-turnover-one-storefront-at-a-time</t>
        </is>
      </c>
    </row>
    <row r="251">
      <c r="A251" s="10" t="n">
        <v>250</v>
      </c>
      <c r="B251" s="10" t="n">
        <v>2</v>
      </c>
      <c r="C251" s="11" t="inlineStr">
        <is>
          <t>Sotto Voce</t>
        </is>
      </c>
      <c r="D251" s="10" t="inlineStr">
        <is>
          <t>Little Italy</t>
        </is>
      </c>
      <c r="E251" s="10" t="inlineStr">
        <is>
          <t>Restaurant</t>
        </is>
      </c>
      <c r="F251" s="10" t="inlineStr">
        <is>
          <t>Italian</t>
        </is>
      </c>
      <c r="G251" s="10" t="inlineStr">
        <is>
          <t>595 College Street</t>
        </is>
      </c>
      <c r="H251" s="10" t="inlineStr"/>
      <c r="I251" s="10" t="inlineStr"/>
      <c r="J251" s="10" t="inlineStr">
        <is>
          <t>416.536.4564</t>
        </is>
      </c>
      <c r="K251" s="10" t="inlineStr"/>
      <c r="L251" s="13" t="inlineStr">
        <is>
          <t>Long-running College St Italian with a loyal crowd.</t>
        </is>
      </c>
      <c r="M251" s="10" t="inlineStr">
        <is>
          <t>Not checked</t>
        </is>
      </c>
      <c r="N251" s="10" t="inlineStr">
        <is>
          <t>Target</t>
        </is>
      </c>
      <c r="S251" s="14" t="n"/>
      <c r="U251" s="14" t="n"/>
      <c r="X251" s="13" t="inlineStr"/>
      <c r="Y251" s="12" t="inlineStr">
        <is>
          <t>https://catherinemortimer.ca/blog/the-address-swap-reading-college-streets-2026-turnover-one-storefront-at-a-time</t>
        </is>
      </c>
    </row>
    <row r="252">
      <c r="A252" s="10" t="n">
        <v>251</v>
      </c>
      <c r="B252" s="10" t="n">
        <v>2</v>
      </c>
      <c r="C252" s="11" t="inlineStr">
        <is>
          <t>Takja BBQ House</t>
        </is>
      </c>
      <c r="D252" s="10" t="inlineStr">
        <is>
          <t>Little Italy</t>
        </is>
      </c>
      <c r="E252" s="10" t="inlineStr">
        <is>
          <t>Restaurant</t>
        </is>
      </c>
      <c r="F252" s="10" t="inlineStr">
        <is>
          <t>Korean BBQ</t>
        </is>
      </c>
      <c r="G252" s="10" t="inlineStr">
        <is>
          <t>962 College St</t>
        </is>
      </c>
      <c r="H252" s="12" t="inlineStr">
        <is>
          <t>https://www.takja.ca/</t>
        </is>
      </c>
      <c r="I252" s="12" t="inlineStr">
        <is>
          <t>@takja_bbq</t>
        </is>
      </c>
      <c r="J252" s="10" t="inlineStr">
        <is>
          <t>(647) 638-7368</t>
        </is>
      </c>
      <c r="K252" s="10" t="inlineStr"/>
      <c r="L252" s="13" t="inlineStr">
        <is>
          <t>Michelin-listed Korean BBQ made for groups and sharing.</t>
        </is>
      </c>
      <c r="M252" s="10" t="inlineStr">
        <is>
          <t>Not checked</t>
        </is>
      </c>
      <c r="N252" s="10" t="inlineStr">
        <is>
          <t>Target</t>
        </is>
      </c>
      <c r="S252" s="14" t="n"/>
      <c r="U252" s="14" t="n"/>
      <c r="X252" s="13" t="inlineStr"/>
      <c r="Y252" s="12" t="inlineStr">
        <is>
          <t>https://joinpearl.co/lists/michelin-guide-toronto-region-2026</t>
        </is>
      </c>
    </row>
    <row r="253">
      <c r="A253" s="10" t="n">
        <v>252</v>
      </c>
      <c r="B253" s="10" t="n">
        <v>2</v>
      </c>
      <c r="C253" s="11" t="inlineStr">
        <is>
          <t>Trattoria Taverniti</t>
        </is>
      </c>
      <c r="D253" s="10" t="inlineStr">
        <is>
          <t>Little Italy</t>
        </is>
      </c>
      <c r="E253" s="10" t="inlineStr">
        <is>
          <t>Restaurant</t>
        </is>
      </c>
      <c r="F253" s="10" t="inlineStr">
        <is>
          <t>Italian</t>
        </is>
      </c>
      <c r="G253" s="10" t="inlineStr">
        <is>
          <t>591 College St.</t>
        </is>
      </c>
      <c r="H253" s="10" t="inlineStr"/>
      <c r="I253" s="10" t="inlineStr"/>
      <c r="J253" s="10" t="inlineStr">
        <is>
          <t>416.537.0078</t>
        </is>
      </c>
      <c r="K253" s="10" t="inlineStr"/>
      <c r="L253" s="13" t="inlineStr">
        <is>
          <t>Family-run trattoria with pizza and pasta, an easy second-main offer.</t>
        </is>
      </c>
      <c r="M253" s="10" t="inlineStr">
        <is>
          <t>Not checked</t>
        </is>
      </c>
      <c r="N253" s="10" t="inlineStr">
        <is>
          <t>Target</t>
        </is>
      </c>
      <c r="S253" s="14" t="n"/>
      <c r="U253" s="14" t="n"/>
      <c r="X253" s="13" t="inlineStr"/>
      <c r="Y253" s="12" t="inlineStr">
        <is>
          <t>https://catherinemortimer.ca/blog/the-address-swap-reading-college-streets-2026-turnover-one-storefront-at-a-time</t>
        </is>
      </c>
    </row>
    <row r="254">
      <c r="A254" s="10" t="n">
        <v>253</v>
      </c>
      <c r="B254" s="10" t="n">
        <v>2</v>
      </c>
      <c r="C254" s="11" t="inlineStr">
        <is>
          <t>Zitto Zitto Taverna</t>
        </is>
      </c>
      <c r="D254" s="10" t="inlineStr">
        <is>
          <t>Little Italy</t>
        </is>
      </c>
      <c r="E254" s="10" t="inlineStr">
        <is>
          <t>Restaurant</t>
        </is>
      </c>
      <c r="F254" s="10" t="inlineStr">
        <is>
          <t>Italian</t>
        </is>
      </c>
      <c r="G254" s="10" t="inlineStr">
        <is>
          <t>593 College St.</t>
        </is>
      </c>
      <c r="H254" s="12" t="inlineStr">
        <is>
          <t>http://zittozittotaverna.ca/</t>
        </is>
      </c>
      <c r="I254" s="10" t="inlineStr"/>
      <c r="J254" s="10" t="inlineStr">
        <is>
          <t>416.533.5253</t>
        </is>
      </c>
      <c r="K254" s="10" t="inlineStr"/>
      <c r="L254" s="13" t="inlineStr">
        <is>
          <t>Candlelit taverna that suits a relaxed date.</t>
        </is>
      </c>
      <c r="M254" s="10" t="inlineStr">
        <is>
          <t>Not checked</t>
        </is>
      </c>
      <c r="N254" s="10" t="inlineStr">
        <is>
          <t>Target</t>
        </is>
      </c>
      <c r="S254" s="14" t="n"/>
      <c r="U254" s="14" t="n"/>
      <c r="X254" s="13" t="inlineStr"/>
      <c r="Y254" s="12" t="inlineStr">
        <is>
          <t>https://catherinemortimer.ca/blog/the-address-swap-reading-college-streets-2026-turnover-one-storefront-at-a-time</t>
        </is>
      </c>
    </row>
    <row r="255">
      <c r="A255" s="10" t="n">
        <v>254</v>
      </c>
      <c r="B255" s="10" t="n">
        <v>2</v>
      </c>
      <c r="C255" s="11" t="inlineStr">
        <is>
          <t>Susie's Rise and Dine</t>
        </is>
      </c>
      <c r="D255" s="10" t="inlineStr">
        <is>
          <t>Little Italy</t>
        </is>
      </c>
      <c r="E255" s="10" t="inlineStr">
        <is>
          <t>Brunch</t>
        </is>
      </c>
      <c r="F255" s="10" t="inlineStr">
        <is>
          <t>Brunch</t>
        </is>
      </c>
      <c r="G255" s="10" t="inlineStr">
        <is>
          <t>539 College St</t>
        </is>
      </c>
      <c r="H255" s="12" t="inlineStr">
        <is>
          <t>https://susiestoronto.com/</t>
        </is>
      </c>
      <c r="I255" s="12" t="inlineStr">
        <is>
          <t>@susiestoronto</t>
        </is>
      </c>
      <c r="J255" s="10" t="inlineStr">
        <is>
          <t>(416) 922 1703</t>
        </is>
      </c>
      <c r="K255" s="10" t="inlineStr"/>
      <c r="L255" s="13" t="inlineStr">
        <is>
          <t>Brunch spot that fits a weekend bring-a-friend offer.</t>
        </is>
      </c>
      <c r="M255" s="10" t="inlineStr">
        <is>
          <t>Not checked</t>
        </is>
      </c>
      <c r="N255" s="10" t="inlineStr">
        <is>
          <t>Target</t>
        </is>
      </c>
      <c r="S255" s="14" t="n"/>
      <c r="U255" s="14" t="n"/>
      <c r="X255" s="13" t="inlineStr"/>
      <c r="Y255" s="12" t="inlineStr">
        <is>
          <t>https://www.blogto.com/restaurants/susies-rise-and-dine-toronto/</t>
        </is>
      </c>
    </row>
    <row r="256">
      <c r="A256" s="10" t="n">
        <v>255</v>
      </c>
      <c r="B256" s="10" t="n">
        <v>2</v>
      </c>
      <c r="C256" s="11" t="inlineStr">
        <is>
          <t>Liu Loqum Atelier</t>
        </is>
      </c>
      <c r="D256" s="10" t="inlineStr">
        <is>
          <t>Little Italy</t>
        </is>
      </c>
      <c r="E256" s="10" t="inlineStr">
        <is>
          <t>Café</t>
        </is>
      </c>
      <c r="F256" s="10" t="inlineStr">
        <is>
          <t>Turkish delight and coffee</t>
        </is>
      </c>
      <c r="G256" s="10" t="inlineStr">
        <is>
          <t>533 College Street</t>
        </is>
      </c>
      <c r="H256" s="12" t="inlineStr">
        <is>
          <t>https://www.liuloqum.com/</t>
        </is>
      </c>
      <c r="I256" s="12" t="inlineStr">
        <is>
          <t>@liuloqum</t>
        </is>
      </c>
      <c r="J256" s="10" t="inlineStr">
        <is>
          <t>(416) 413-0076</t>
        </is>
      </c>
      <c r="K256" s="10" t="inlineStr"/>
      <c r="L256" s="13" t="inlineStr">
        <is>
          <t>Polished café with sweets, a nice two-for-one coffee stop.</t>
        </is>
      </c>
      <c r="M256" s="10" t="inlineStr">
        <is>
          <t>Not checked</t>
        </is>
      </c>
      <c r="N256" s="10" t="inlineStr">
        <is>
          <t>Target</t>
        </is>
      </c>
      <c r="S256" s="14" t="n"/>
      <c r="U256" s="14" t="n"/>
      <c r="X256" s="13" t="inlineStr"/>
      <c r="Y256" s="12" t="inlineStr">
        <is>
          <t>https://www.liuloqum.com/</t>
        </is>
      </c>
    </row>
    <row r="257">
      <c r="A257" s="10" t="n">
        <v>256</v>
      </c>
      <c r="B257" s="10" t="n">
        <v>2</v>
      </c>
      <c r="C257" s="11" t="inlineStr">
        <is>
          <t>Bakery Pompette</t>
        </is>
      </c>
      <c r="D257" s="10" t="inlineStr">
        <is>
          <t>Little Italy</t>
        </is>
      </c>
      <c r="E257" s="10" t="inlineStr">
        <is>
          <t>Bakery</t>
        </is>
      </c>
      <c r="F257" s="10" t="inlineStr">
        <is>
          <t>French pastry</t>
        </is>
      </c>
      <c r="G257" s="10" t="inlineStr">
        <is>
          <t>655 College Street</t>
        </is>
      </c>
      <c r="H257" s="12" t="inlineStr">
        <is>
          <t>https://www.pompette.ca/</t>
        </is>
      </c>
      <c r="I257" s="10" t="inlineStr"/>
      <c r="J257" s="10" t="inlineStr"/>
      <c r="K257" s="10" t="inlineStr"/>
      <c r="L257" s="13" t="inlineStr">
        <is>
          <t>French bakery from a respected team, good for a two-for-one pastry and coffee.</t>
        </is>
      </c>
      <c r="M257" s="10" t="inlineStr">
        <is>
          <t>Not checked</t>
        </is>
      </c>
      <c r="N257" s="10" t="inlineStr">
        <is>
          <t>Target</t>
        </is>
      </c>
      <c r="S257" s="14" t="n"/>
      <c r="U257" s="14" t="n"/>
      <c r="X257" s="13" t="inlineStr"/>
      <c r="Y257" s="12" t="inlineStr">
        <is>
          <t>https://catherinemortimer.ca/blog/the-address-swap-reading-college-streets-2026-turnover-one-storefront-at-a-time</t>
        </is>
      </c>
    </row>
    <row r="258">
      <c r="A258" s="10" t="n">
        <v>257</v>
      </c>
      <c r="B258" s="10" t="n">
        <v>2</v>
      </c>
      <c r="C258" s="11" t="inlineStr">
        <is>
          <t>Cafe Belem</t>
        </is>
      </c>
      <c r="D258" s="10" t="inlineStr">
        <is>
          <t>Little Italy</t>
        </is>
      </c>
      <c r="E258" s="10" t="inlineStr">
        <is>
          <t>Bakery</t>
        </is>
      </c>
      <c r="F258" s="10" t="inlineStr">
        <is>
          <t>Portuguese</t>
        </is>
      </c>
      <c r="G258" s="10" t="inlineStr">
        <is>
          <t>546 College Street</t>
        </is>
      </c>
      <c r="H258" s="12" t="inlineStr">
        <is>
          <t>https://www.cafebelemto.ca/</t>
        </is>
      </c>
      <c r="I258" s="10" t="inlineStr"/>
      <c r="J258" s="10" t="inlineStr"/>
      <c r="K258" s="10" t="inlineStr"/>
      <c r="L258" s="13" t="inlineStr">
        <is>
          <t>Portuguese bakery café, a simple coffee and pastry offer.</t>
        </is>
      </c>
      <c r="M258" s="10" t="inlineStr">
        <is>
          <t>Not checked</t>
        </is>
      </c>
      <c r="N258" s="10" t="inlineStr">
        <is>
          <t>Target</t>
        </is>
      </c>
      <c r="S258" s="14" t="n"/>
      <c r="U258" s="14" t="n"/>
      <c r="X258" s="13" t="inlineStr"/>
      <c r="Y258" s="12" t="inlineStr">
        <is>
          <t>https://www.blogto.com/bakery/cafe-belem-toronto/</t>
        </is>
      </c>
    </row>
    <row r="259">
      <c r="A259" s="10" t="n">
        <v>258</v>
      </c>
      <c r="B259" s="10" t="n">
        <v>2</v>
      </c>
      <c r="C259" s="11" t="inlineStr">
        <is>
          <t>Casa Morales</t>
        </is>
      </c>
      <c r="D259" s="10" t="inlineStr">
        <is>
          <t>Kensington and Chinatown</t>
        </is>
      </c>
      <c r="E259" s="10" t="inlineStr">
        <is>
          <t>Restaurant</t>
        </is>
      </c>
      <c r="F259" s="10" t="inlineStr">
        <is>
          <t>Mexican</t>
        </is>
      </c>
      <c r="G259" s="10" t="inlineStr">
        <is>
          <t>152 Augusta Ave</t>
        </is>
      </c>
      <c r="H259" s="12" t="inlineStr">
        <is>
          <t>https://www.casamorales.ca/</t>
        </is>
      </c>
      <c r="I259" s="12" t="inlineStr">
        <is>
          <t>@casamorales.to</t>
        </is>
      </c>
      <c r="J259" s="10" t="inlineStr">
        <is>
          <t>(416) 340-2336</t>
        </is>
      </c>
      <c r="K259" s="10" t="inlineStr"/>
      <c r="L259" s="13" t="inlineStr">
        <is>
          <t>Mexican restaurant reviewed in 2025, fits a casual night out.</t>
        </is>
      </c>
      <c r="M259" s="10" t="inlineStr">
        <is>
          <t>Not checked</t>
        </is>
      </c>
      <c r="N259" s="10" t="inlineStr">
        <is>
          <t>Target</t>
        </is>
      </c>
      <c r="S259" s="14" t="n"/>
      <c r="U259" s="14" t="n"/>
      <c r="X259" s="13" t="inlineStr"/>
      <c r="Y259" s="12" t="inlineStr">
        <is>
          <t>https://www.blogto.com/restaurants/casa-morales-toronto/</t>
        </is>
      </c>
    </row>
    <row r="260">
      <c r="A260" s="10" t="n">
        <v>259</v>
      </c>
      <c r="B260" s="10" t="n">
        <v>2</v>
      </c>
      <c r="C260" s="11" t="inlineStr">
        <is>
          <t>Dim Sum King</t>
        </is>
      </c>
      <c r="D260" s="10" t="inlineStr">
        <is>
          <t>Kensington and Chinatown</t>
        </is>
      </c>
      <c r="E260" s="10" t="inlineStr">
        <is>
          <t>Restaurant</t>
        </is>
      </c>
      <c r="F260" s="10" t="inlineStr">
        <is>
          <t>Cantonese dim sum</t>
        </is>
      </c>
      <c r="G260" s="10" t="inlineStr">
        <is>
          <t>421 Dundas West</t>
        </is>
      </c>
      <c r="H260" s="10" t="inlineStr"/>
      <c r="I260" s="10" t="inlineStr"/>
      <c r="J260" s="10" t="inlineStr">
        <is>
          <t>416.551.3366</t>
        </is>
      </c>
      <c r="K260" s="10" t="inlineStr"/>
      <c r="L260" s="13" t="inlineStr">
        <is>
          <t>Cart-service dim sum made for bringing a group.</t>
        </is>
      </c>
      <c r="M260" s="10" t="inlineStr">
        <is>
          <t>Not checked</t>
        </is>
      </c>
      <c r="N260" s="10" t="inlineStr">
        <is>
          <t>Target</t>
        </is>
      </c>
      <c r="S260" s="14" t="n"/>
      <c r="U260" s="14" t="n"/>
      <c r="X260" s="13" t="inlineStr"/>
      <c r="Y260" s="12" t="inlineStr">
        <is>
          <t>https://streetsoftoronto.com/?p=169856</t>
        </is>
      </c>
    </row>
    <row r="261">
      <c r="A261" s="10" t="n">
        <v>260</v>
      </c>
      <c r="B261" s="10" t="n">
        <v>2</v>
      </c>
      <c r="C261" s="11" t="inlineStr">
        <is>
          <t>Grey Gardens</t>
        </is>
      </c>
      <c r="D261" s="10" t="inlineStr">
        <is>
          <t>Kensington and Chinatown</t>
        </is>
      </c>
      <c r="E261" s="10" t="inlineStr">
        <is>
          <t>Restaurant</t>
        </is>
      </c>
      <c r="F261" s="10" t="inlineStr">
        <is>
          <t>Contemporary seafood</t>
        </is>
      </c>
      <c r="G261" s="10" t="inlineStr">
        <is>
          <t>199 Augusta Ave</t>
        </is>
      </c>
      <c r="H261" s="12" t="inlineStr">
        <is>
          <t>https://greygardens.ca/</t>
        </is>
      </c>
      <c r="I261" s="10" t="inlineStr"/>
      <c r="J261" s="10" t="inlineStr">
        <is>
          <t>647.351.1552</t>
        </is>
      </c>
      <c r="K261" s="10" t="inlineStr">
        <is>
          <t>$$$</t>
        </is>
      </c>
      <c r="L261" s="13" t="inlineStr">
        <is>
          <t>Bib Gourmand restaurant from a well-known Toronto team.</t>
        </is>
      </c>
      <c r="M261" s="10" t="inlineStr">
        <is>
          <t>Not checked</t>
        </is>
      </c>
      <c r="N261" s="10" t="inlineStr">
        <is>
          <t>Target</t>
        </is>
      </c>
      <c r="S261" s="14" t="n"/>
      <c r="U261" s="14" t="n"/>
      <c r="X261" s="13" t="inlineStr"/>
      <c r="Y261" s="12" t="inlineStr">
        <is>
          <t>https://www.destinationtoronto.com/restaurants/michelin/</t>
        </is>
      </c>
    </row>
    <row r="262">
      <c r="A262" s="10" t="n">
        <v>261</v>
      </c>
      <c r="B262" s="10" t="n">
        <v>2</v>
      </c>
      <c r="C262" s="11" t="inlineStr">
        <is>
          <t>Hawker</t>
        </is>
      </c>
      <c r="D262" s="10" t="inlineStr">
        <is>
          <t>Kensington and Chinatown</t>
        </is>
      </c>
      <c r="E262" s="10" t="inlineStr">
        <is>
          <t>Restaurant</t>
        </is>
      </c>
      <c r="F262" s="10" t="inlineStr">
        <is>
          <t>Plant-based small plates</t>
        </is>
      </c>
      <c r="G262" s="10" t="inlineStr">
        <is>
          <t>291 Augusta Ave</t>
        </is>
      </c>
      <c r="H262" s="12" t="inlineStr">
        <is>
          <t>https://www.hawker.to/menu</t>
        </is>
      </c>
      <c r="I262" s="12" t="inlineStr">
        <is>
          <t>@hawker.to</t>
        </is>
      </c>
      <c r="J262" s="10" t="inlineStr">
        <is>
          <t>416-628-1905</t>
        </is>
      </c>
      <c r="K262" s="10" t="inlineStr"/>
      <c r="L262" s="13" t="inlineStr">
        <is>
          <t>Upscale plant-based small plates, good for members who eat vegan.</t>
        </is>
      </c>
      <c r="M262" s="10" t="inlineStr">
        <is>
          <t>Not checked</t>
        </is>
      </c>
      <c r="N262" s="10" t="inlineStr">
        <is>
          <t>Target</t>
        </is>
      </c>
      <c r="S262" s="14" t="n"/>
      <c r="U262" s="14" t="n"/>
      <c r="X262" s="13" t="inlineStr"/>
      <c r="Y262" s="12" t="inlineStr">
        <is>
          <t>https://www.opentable.co.th/r/hawker-toronto</t>
        </is>
      </c>
    </row>
    <row r="263">
      <c r="A263" s="10" t="n">
        <v>262</v>
      </c>
      <c r="B263" s="10" t="n">
        <v>2</v>
      </c>
      <c r="C263" s="11" t="inlineStr">
        <is>
          <t>Mother's Dumplings</t>
        </is>
      </c>
      <c r="D263" s="10" t="inlineStr">
        <is>
          <t>Kensington and Chinatown</t>
        </is>
      </c>
      <c r="E263" s="10" t="inlineStr">
        <is>
          <t>Restaurant</t>
        </is>
      </c>
      <c r="F263" s="10" t="inlineStr">
        <is>
          <t>Chinese dumplings</t>
        </is>
      </c>
      <c r="G263" s="10" t="inlineStr">
        <is>
          <t>421 Spadina Avenue</t>
        </is>
      </c>
      <c r="H263" s="10" t="inlineStr"/>
      <c r="I263" s="10" t="inlineStr"/>
      <c r="J263" s="10" t="inlineStr">
        <is>
          <t>416.217.2008</t>
        </is>
      </c>
      <c r="K263" s="10" t="inlineStr">
        <is>
          <t>$$</t>
        </is>
      </c>
      <c r="L263" s="13" t="inlineStr">
        <is>
          <t>Michelin-listed dumpling house, an easy share-a-plate offer.</t>
        </is>
      </c>
      <c r="M263" s="10" t="inlineStr">
        <is>
          <t>Not checked</t>
        </is>
      </c>
      <c r="N263" s="10" t="inlineStr">
        <is>
          <t>Target</t>
        </is>
      </c>
      <c r="S263" s="14" t="n"/>
      <c r="U263" s="14" t="n"/>
      <c r="X263" s="13" t="inlineStr"/>
      <c r="Y263" s="12" t="inlineStr">
        <is>
          <t>https://guide.michelin.com/en/ontario/toronto/restaurant/mother-s-dumplings</t>
        </is>
      </c>
    </row>
    <row r="264">
      <c r="A264" s="10" t="n">
        <v>263</v>
      </c>
      <c r="B264" s="10" t="n">
        <v>2</v>
      </c>
      <c r="C264" s="11" t="inlineStr">
        <is>
          <t>Qin's Garden</t>
        </is>
      </c>
      <c r="D264" s="10" t="inlineStr">
        <is>
          <t>Kensington and Chinatown</t>
        </is>
      </c>
      <c r="E264" s="10" t="inlineStr">
        <is>
          <t>Restaurant</t>
        </is>
      </c>
      <c r="F264" s="10" t="inlineStr">
        <is>
          <t>Chinese</t>
        </is>
      </c>
      <c r="G264" s="10" t="inlineStr">
        <is>
          <t>435 Spadina Ave</t>
        </is>
      </c>
      <c r="H264" s="12" t="inlineStr">
        <is>
          <t>https://qinsgarden.ca/</t>
        </is>
      </c>
      <c r="I264" s="12" t="inlineStr">
        <is>
          <t>@qinsgardencanada</t>
        </is>
      </c>
      <c r="J264" s="10" t="inlineStr">
        <is>
          <t>(416) 506-9999</t>
        </is>
      </c>
      <c r="K264" s="10" t="inlineStr"/>
      <c r="L264" s="13" t="inlineStr">
        <is>
          <t>Chinese restaurant on Spadina with current hours, good for group dinners.</t>
        </is>
      </c>
      <c r="M264" s="10" t="inlineStr">
        <is>
          <t>Not checked</t>
        </is>
      </c>
      <c r="N264" s="10" t="inlineStr">
        <is>
          <t>Target</t>
        </is>
      </c>
      <c r="S264" s="14" t="n"/>
      <c r="U264" s="14" t="n"/>
      <c r="X264" s="13" t="inlineStr">
        <is>
          <t>Check it's open before visiting: weak online evidence.</t>
        </is>
      </c>
      <c r="Y264" s="12" t="inlineStr">
        <is>
          <t>https://qinsgarden.ca/</t>
        </is>
      </c>
    </row>
    <row r="265">
      <c r="A265" s="10" t="n">
        <v>264</v>
      </c>
      <c r="B265" s="10" t="n">
        <v>2</v>
      </c>
      <c r="C265" s="11" t="inlineStr">
        <is>
          <t>R&amp;D</t>
        </is>
      </c>
      <c r="D265" s="10" t="inlineStr">
        <is>
          <t>Kensington and Chinatown</t>
        </is>
      </c>
      <c r="E265" s="10" t="inlineStr">
        <is>
          <t>Restaurant</t>
        </is>
      </c>
      <c r="F265" s="10" t="inlineStr">
        <is>
          <t>Asian fusion</t>
        </is>
      </c>
      <c r="G265" s="10" t="inlineStr">
        <is>
          <t>241 Spadina Ave.</t>
        </is>
      </c>
      <c r="H265" s="12" t="inlineStr">
        <is>
          <t>http://www.rdspadina.com/</t>
        </is>
      </c>
      <c r="I265" s="10" t="inlineStr"/>
      <c r="J265" s="10" t="inlineStr">
        <is>
          <t>416.586.1241</t>
        </is>
      </c>
      <c r="K265" s="10" t="inlineStr">
        <is>
          <t>$$$</t>
        </is>
      </c>
      <c r="L265" s="13" t="inlineStr">
        <is>
          <t>Bib Gourmand fusion on Spadina, good for group dinners.</t>
        </is>
      </c>
      <c r="M265" s="10" t="inlineStr">
        <is>
          <t>Not checked</t>
        </is>
      </c>
      <c r="N265" s="10" t="inlineStr">
        <is>
          <t>Target</t>
        </is>
      </c>
      <c r="S265" s="14" t="n"/>
      <c r="U265" s="14" t="n"/>
      <c r="X265" s="13" t="inlineStr"/>
      <c r="Y265" s="12" t="inlineStr">
        <is>
          <t>https://www.destinationtoronto.com/restaurants/michelin/</t>
        </is>
      </c>
    </row>
    <row r="266">
      <c r="A266" s="10" t="n">
        <v>265</v>
      </c>
      <c r="B266" s="10" t="n">
        <v>2</v>
      </c>
      <c r="C266" s="11" t="inlineStr">
        <is>
          <t>Rikki Tikki</t>
        </is>
      </c>
      <c r="D266" s="10" t="inlineStr">
        <is>
          <t>Kensington and Chinatown</t>
        </is>
      </c>
      <c r="E266" s="10" t="inlineStr">
        <is>
          <t>Restaurant</t>
        </is>
      </c>
      <c r="F266" s="10" t="inlineStr">
        <is>
          <t>Indian</t>
        </is>
      </c>
      <c r="G266" s="10" t="inlineStr">
        <is>
          <t>209 Augusta Ave.</t>
        </is>
      </c>
      <c r="H266" s="12" t="inlineStr">
        <is>
          <t>https://rikkitikki.ca/</t>
        </is>
      </c>
      <c r="I266" s="12" t="inlineStr">
        <is>
          <t>@rikki.tikki.to</t>
        </is>
      </c>
      <c r="J266" s="10" t="inlineStr">
        <is>
          <t>(416) 792-3229</t>
        </is>
      </c>
      <c r="K266" s="10" t="inlineStr"/>
      <c r="L266" s="13" t="inlineStr">
        <is>
          <t>Indian spot in the market, an easy second-main offer.</t>
        </is>
      </c>
      <c r="M266" s="10" t="inlineStr">
        <is>
          <t>Not checked</t>
        </is>
      </c>
      <c r="N266" s="10" t="inlineStr">
        <is>
          <t>Target</t>
        </is>
      </c>
      <c r="S266" s="14" t="n"/>
      <c r="U266" s="14" t="n"/>
      <c r="X266" s="13" t="inlineStr">
        <is>
          <t>Check it's open before visiting: weak online evidence.</t>
        </is>
      </c>
      <c r="Y266" s="12" t="inlineStr">
        <is>
          <t>https://rikkitikki.ca/</t>
        </is>
      </c>
    </row>
    <row r="267">
      <c r="A267" s="10" t="n">
        <v>266</v>
      </c>
      <c r="B267" s="10" t="n">
        <v>2</v>
      </c>
      <c r="C267" s="11" t="inlineStr">
        <is>
          <t>Sunnys Chinese</t>
        </is>
      </c>
      <c r="D267" s="10" t="inlineStr">
        <is>
          <t>Kensington and Chinatown</t>
        </is>
      </c>
      <c r="E267" s="10" t="inlineStr">
        <is>
          <t>Restaurant</t>
        </is>
      </c>
      <c r="F267" s="10" t="inlineStr">
        <is>
          <t>Chinese</t>
        </is>
      </c>
      <c r="G267" s="10" t="inlineStr">
        <is>
          <t>60 Kensington Ave</t>
        </is>
      </c>
      <c r="H267" s="12" t="inlineStr">
        <is>
          <t>https://sunnyschinese.com/</t>
        </is>
      </c>
      <c r="I267" s="12" t="inlineStr">
        <is>
          <t>@sunnyschinese</t>
        </is>
      </c>
      <c r="J267" s="10" t="inlineStr">
        <is>
          <t>437.833.5798</t>
        </is>
      </c>
      <c r="K267" s="10" t="inlineStr">
        <is>
          <t>$$</t>
        </is>
      </c>
      <c r="L267" s="13" t="inlineStr">
        <is>
          <t>Bib Gourmand Chinese with a following, a strong anchor partner.</t>
        </is>
      </c>
      <c r="M267" s="10" t="inlineStr">
        <is>
          <t>Not checked</t>
        </is>
      </c>
      <c r="N267" s="10" t="inlineStr">
        <is>
          <t>Target</t>
        </is>
      </c>
      <c r="S267" s="14" t="n"/>
      <c r="U267" s="14" t="n"/>
      <c r="X267" s="13" t="inlineStr"/>
      <c r="Y267" s="12" t="inlineStr">
        <is>
          <t>https://www.destinationtoronto.com/restaurants/michelin/</t>
        </is>
      </c>
    </row>
    <row r="268">
      <c r="A268" s="10" t="n">
        <v>267</v>
      </c>
      <c r="B268" s="10" t="n">
        <v>2</v>
      </c>
      <c r="C268" s="11" t="inlineStr">
        <is>
          <t>Teow Tem Toh</t>
        </is>
      </c>
      <c r="D268" s="10" t="inlineStr">
        <is>
          <t>Kensington and Chinatown</t>
        </is>
      </c>
      <c r="E268" s="10" t="inlineStr">
        <is>
          <t>Restaurant</t>
        </is>
      </c>
      <c r="F268" s="10" t="inlineStr">
        <is>
          <t>Thai</t>
        </is>
      </c>
      <c r="G268" s="10" t="inlineStr">
        <is>
          <t>237 Augusta Ave</t>
        </is>
      </c>
      <c r="H268" s="10" t="inlineStr"/>
      <c r="I268" s="12" t="inlineStr">
        <is>
          <t>@teowtemtoh.to</t>
        </is>
      </c>
      <c r="J268" s="10" t="inlineStr"/>
      <c r="K268" s="10" t="inlineStr"/>
      <c r="L268" s="13" t="inlineStr">
        <is>
          <t>New Thai spot in the market, listed in 2026.</t>
        </is>
      </c>
      <c r="M268" s="10" t="inlineStr">
        <is>
          <t>Not checked</t>
        </is>
      </c>
      <c r="N268" s="10" t="inlineStr">
        <is>
          <t>Target</t>
        </is>
      </c>
      <c r="S268" s="14" t="n"/>
      <c r="U268" s="14" t="n"/>
      <c r="X268" s="13" t="inlineStr"/>
      <c r="Y268" s="12" t="inlineStr">
        <is>
          <t>https://www.blogto.com/restaurants/teow-tem-toh-toronto/</t>
        </is>
      </c>
    </row>
    <row r="269">
      <c r="A269" s="10" t="n">
        <v>268</v>
      </c>
      <c r="B269" s="10" t="n">
        <v>2</v>
      </c>
      <c r="C269" s="11" t="inlineStr">
        <is>
          <t>The Cottage Cheese</t>
        </is>
      </c>
      <c r="D269" s="10" t="inlineStr">
        <is>
          <t>Kensington and Chinatown</t>
        </is>
      </c>
      <c r="E269" s="10" t="inlineStr">
        <is>
          <t>Restaurant</t>
        </is>
      </c>
      <c r="F269" s="10" t="inlineStr">
        <is>
          <t>Indian</t>
        </is>
      </c>
      <c r="G269" s="10" t="inlineStr">
        <is>
          <t>64 Oxford Street</t>
        </is>
      </c>
      <c r="H269" s="12" t="inlineStr">
        <is>
          <t>https://www.thecottagecheese.ca/</t>
        </is>
      </c>
      <c r="I269" s="10" t="inlineStr"/>
      <c r="J269" s="10" t="inlineStr">
        <is>
          <t>647.368.8633</t>
        </is>
      </c>
      <c r="K269" s="10" t="inlineStr"/>
      <c r="L269" s="13" t="inlineStr">
        <is>
          <t>Bib Gourmand Indian spot that offers real value.</t>
        </is>
      </c>
      <c r="M269" s="10" t="inlineStr">
        <is>
          <t>Not checked</t>
        </is>
      </c>
      <c r="N269" s="10" t="inlineStr">
        <is>
          <t>Target</t>
        </is>
      </c>
      <c r="S269" s="14" t="n"/>
      <c r="U269" s="14" t="n"/>
      <c r="X269" s="13" t="inlineStr"/>
      <c r="Y269" s="12" t="inlineStr">
        <is>
          <t>https://www.destinationtoronto.com/restaurants/michelin/</t>
        </is>
      </c>
    </row>
    <row r="270">
      <c r="A270" s="10" t="n">
        <v>269</v>
      </c>
      <c r="B270" s="10" t="n">
        <v>2</v>
      </c>
      <c r="C270" s="11" t="inlineStr">
        <is>
          <t>Cafe La On</t>
        </is>
      </c>
      <c r="D270" s="10" t="inlineStr">
        <is>
          <t>Kensington and Chinatown</t>
        </is>
      </c>
      <c r="E270" s="10" t="inlineStr">
        <is>
          <t>Café</t>
        </is>
      </c>
      <c r="F270" s="10" t="inlineStr">
        <is>
          <t>Bakery café</t>
        </is>
      </c>
      <c r="G270" s="10" t="inlineStr">
        <is>
          <t>453 Dundas Street West</t>
        </is>
      </c>
      <c r="H270" s="12" t="inlineStr">
        <is>
          <t>https://www.laonbake.com/</t>
        </is>
      </c>
      <c r="I270" s="10" t="inlineStr"/>
      <c r="J270" s="10" t="inlineStr"/>
      <c r="K270" s="10" t="inlineStr"/>
      <c r="L270" s="13" t="inlineStr">
        <is>
          <t>Bakery café reviewed in 2026, good for a coffee date.</t>
        </is>
      </c>
      <c r="M270" s="10" t="inlineStr">
        <is>
          <t>Not checked</t>
        </is>
      </c>
      <c r="N270" s="10" t="inlineStr">
        <is>
          <t>Target</t>
        </is>
      </c>
      <c r="S270" s="14" t="n"/>
      <c r="U270" s="14" t="n"/>
      <c r="X270" s="13" t="inlineStr"/>
      <c r="Y270" s="12" t="inlineStr">
        <is>
          <t>https://www.blogto.com/cafes/cafe-la-toronto/</t>
        </is>
      </c>
    </row>
    <row r="271">
      <c r="A271" s="10" t="n">
        <v>270</v>
      </c>
      <c r="B271" s="10" t="n">
        <v>2</v>
      </c>
      <c r="C271" s="11" t="inlineStr">
        <is>
          <t>Graination</t>
        </is>
      </c>
      <c r="D271" s="10" t="inlineStr">
        <is>
          <t>Kensington and Chinatown</t>
        </is>
      </c>
      <c r="E271" s="10" t="inlineStr">
        <is>
          <t>Café</t>
        </is>
      </c>
      <c r="F271" s="10" t="inlineStr">
        <is>
          <t>Café</t>
        </is>
      </c>
      <c r="G271" s="10" t="inlineStr">
        <is>
          <t>204 Spadina Avenue</t>
        </is>
      </c>
      <c r="H271" s="12" t="inlineStr">
        <is>
          <t>https://graination.ca/</t>
        </is>
      </c>
      <c r="I271" s="12" t="inlineStr">
        <is>
          <t>@graination_official</t>
        </is>
      </c>
      <c r="J271" s="10" t="inlineStr">
        <is>
          <t>(647) 426-1277</t>
        </is>
      </c>
      <c r="K271" s="10" t="inlineStr"/>
      <c r="L271" s="13" t="inlineStr">
        <is>
          <t>Daytime café with posted hours, a calm weekday coffee offer.</t>
        </is>
      </c>
      <c r="M271" s="10" t="inlineStr">
        <is>
          <t>Not checked</t>
        </is>
      </c>
      <c r="N271" s="10" t="inlineStr">
        <is>
          <t>Target</t>
        </is>
      </c>
      <c r="S271" s="14" t="n"/>
      <c r="U271" s="14" t="n"/>
      <c r="X271" s="13" t="inlineStr">
        <is>
          <t>Check it's open before visiting: weak online evidence.</t>
        </is>
      </c>
      <c r="Y271" s="12" t="inlineStr">
        <is>
          <t>https://graination.ca/</t>
        </is>
      </c>
    </row>
    <row r="272">
      <c r="A272" s="10" t="n">
        <v>271</v>
      </c>
      <c r="B272" s="10" t="n">
        <v>2</v>
      </c>
      <c r="C272" s="11" t="inlineStr">
        <is>
          <t>Matcha Haus</t>
        </is>
      </c>
      <c r="D272" s="10" t="inlineStr">
        <is>
          <t>Kensington and Chinatown</t>
        </is>
      </c>
      <c r="E272" s="10" t="inlineStr">
        <is>
          <t>Café</t>
        </is>
      </c>
      <c r="F272" s="10" t="inlineStr">
        <is>
          <t>Matcha café</t>
        </is>
      </c>
      <c r="G272" s="10" t="inlineStr">
        <is>
          <t>324 Bathurst Street</t>
        </is>
      </c>
      <c r="H272" s="12" t="inlineStr">
        <is>
          <t>https://www.matchahaus.ca/</t>
        </is>
      </c>
      <c r="I272" s="10" t="inlineStr"/>
      <c r="J272" s="10" t="inlineStr"/>
      <c r="K272" s="10" t="inlineStr"/>
      <c r="L272" s="13" t="inlineStr">
        <is>
          <t>Matcha café reviewed in 2026, popular with a younger crowd.</t>
        </is>
      </c>
      <c r="M272" s="10" t="inlineStr">
        <is>
          <t>Not checked</t>
        </is>
      </c>
      <c r="N272" s="10" t="inlineStr">
        <is>
          <t>Target</t>
        </is>
      </c>
      <c r="S272" s="14" t="n"/>
      <c r="U272" s="14" t="n"/>
      <c r="X272" s="13" t="inlineStr"/>
      <c r="Y272" s="12" t="inlineStr">
        <is>
          <t>https://www.blogto.com/cafes/matcha-haus/</t>
        </is>
      </c>
    </row>
    <row r="273">
      <c r="A273" s="10" t="n">
        <v>272</v>
      </c>
      <c r="B273" s="10" t="n">
        <v>2</v>
      </c>
      <c r="C273" s="11" t="inlineStr">
        <is>
          <t>Project Seoul</t>
        </is>
      </c>
      <c r="D273" s="10" t="inlineStr">
        <is>
          <t>Kensington and Chinatown</t>
        </is>
      </c>
      <c r="E273" s="10" t="inlineStr">
        <is>
          <t>Café</t>
        </is>
      </c>
      <c r="F273" s="10" t="inlineStr">
        <is>
          <t>Korean café</t>
        </is>
      </c>
      <c r="G273" s="10" t="inlineStr">
        <is>
          <t>355 Spadina Avenue</t>
        </is>
      </c>
      <c r="H273" s="10" t="inlineStr"/>
      <c r="I273" s="12" t="inlineStr">
        <is>
          <t>@projectseoul.cafe</t>
        </is>
      </c>
      <c r="J273" s="10" t="inlineStr"/>
      <c r="K273" s="10" t="inlineStr"/>
      <c r="L273" s="13" t="inlineStr">
        <is>
          <t>Korean café reviewed in 2025, good for students and newcomers.</t>
        </is>
      </c>
      <c r="M273" s="10" t="inlineStr">
        <is>
          <t>Not checked</t>
        </is>
      </c>
      <c r="N273" s="10" t="inlineStr">
        <is>
          <t>Target</t>
        </is>
      </c>
      <c r="S273" s="14" t="n"/>
      <c r="U273" s="14" t="n"/>
      <c r="X273" s="13" t="inlineStr"/>
      <c r="Y273" s="12" t="inlineStr">
        <is>
          <t>https://www.blogto.com/cafes/project-seoul-toronto/</t>
        </is>
      </c>
    </row>
    <row r="274">
      <c r="A274" s="10" t="n">
        <v>273</v>
      </c>
      <c r="B274" s="10" t="n">
        <v>2</v>
      </c>
      <c r="C274" s="11" t="inlineStr">
        <is>
          <t>Bunner's Bake Shop</t>
        </is>
      </c>
      <c r="D274" s="10" t="inlineStr">
        <is>
          <t>Kensington and Chinatown</t>
        </is>
      </c>
      <c r="E274" s="10" t="inlineStr">
        <is>
          <t>Bakery</t>
        </is>
      </c>
      <c r="F274" s="10" t="inlineStr">
        <is>
          <t>Gluten-free and vegan baking</t>
        </is>
      </c>
      <c r="G274" s="10" t="inlineStr">
        <is>
          <t>244 Augusta Ave.</t>
        </is>
      </c>
      <c r="H274" s="12" t="inlineStr">
        <is>
          <t>https://bunners.ca/shop</t>
        </is>
      </c>
      <c r="I274" s="10" t="inlineStr"/>
      <c r="J274" s="10" t="inlineStr">
        <is>
          <t>647-350-2975</t>
        </is>
      </c>
      <c r="K274" s="10" t="inlineStr"/>
      <c r="L274" s="13" t="inlineStr">
        <is>
          <t>Gluten-free and vegan bakery that serves a niche loyal crowd.</t>
        </is>
      </c>
      <c r="M274" s="10" t="inlineStr">
        <is>
          <t>Not checked</t>
        </is>
      </c>
      <c r="N274" s="10" t="inlineStr">
        <is>
          <t>Target</t>
        </is>
      </c>
      <c r="S274" s="14" t="n"/>
      <c r="U274" s="14" t="n"/>
      <c r="X274" s="13" t="inlineStr">
        <is>
          <t>Check it's open before visiting: weak online evidence.</t>
        </is>
      </c>
      <c r="Y274" s="12" t="inlineStr">
        <is>
          <t>https://bunners.ca/shop</t>
        </is>
      </c>
    </row>
    <row r="275">
      <c r="A275" s="10" t="n">
        <v>274</v>
      </c>
      <c r="B275" s="10" t="n">
        <v>2</v>
      </c>
      <c r="C275" s="11" t="inlineStr">
        <is>
          <t>Milk and Cookies</t>
        </is>
      </c>
      <c r="D275" s="10" t="inlineStr">
        <is>
          <t>Kensington and Chinatown</t>
        </is>
      </c>
      <c r="E275" s="10" t="inlineStr">
        <is>
          <t>Bakery</t>
        </is>
      </c>
      <c r="F275" s="10" t="inlineStr">
        <is>
          <t>Cookies and baking</t>
        </is>
      </c>
      <c r="G275" s="10" t="inlineStr">
        <is>
          <t>283 Augusta Ave</t>
        </is>
      </c>
      <c r="H275" s="12" t="inlineStr">
        <is>
          <t>https://milkandcookies.ca/</t>
        </is>
      </c>
      <c r="I275" s="12" t="inlineStr">
        <is>
          <t>@milkandcookiesto</t>
        </is>
      </c>
      <c r="J275" s="10" t="inlineStr">
        <is>
          <t>647.794.7097</t>
        </is>
      </c>
      <c r="K275" s="10" t="inlineStr"/>
      <c r="L275" s="13" t="inlineStr">
        <is>
          <t>Bakery reviewed in 2026, a fun two-for-one treat stop.</t>
        </is>
      </c>
      <c r="M275" s="10" t="inlineStr">
        <is>
          <t>Not checked</t>
        </is>
      </c>
      <c r="N275" s="10" t="inlineStr">
        <is>
          <t>Target</t>
        </is>
      </c>
      <c r="S275" s="14" t="n"/>
      <c r="U275" s="14" t="n"/>
      <c r="X275" s="13" t="inlineStr"/>
      <c r="Y275" s="12" t="inlineStr">
        <is>
          <t>https://www.blogto.com/bakery/milk-and-cookies-toronto/</t>
        </is>
      </c>
    </row>
    <row r="276">
      <c r="A276" s="10" t="n">
        <v>275</v>
      </c>
      <c r="B276" s="10" t="n">
        <v>2</v>
      </c>
      <c r="C276" s="11" t="inlineStr">
        <is>
          <t>Wanda's Pie in the Sky</t>
        </is>
      </c>
      <c r="D276" s="10" t="inlineStr">
        <is>
          <t>Kensington and Chinatown</t>
        </is>
      </c>
      <c r="E276" s="10" t="inlineStr">
        <is>
          <t>Bakery</t>
        </is>
      </c>
      <c r="F276" s="10" t="inlineStr">
        <is>
          <t>Pies and baking</t>
        </is>
      </c>
      <c r="G276" s="10" t="inlineStr">
        <is>
          <t>287 Augusta Avenue</t>
        </is>
      </c>
      <c r="H276" s="12" t="inlineStr">
        <is>
          <t>http://wandaspieinthesky.com/</t>
        </is>
      </c>
      <c r="I276" s="10" t="inlineStr"/>
      <c r="J276" s="10" t="inlineStr">
        <is>
          <t>416.236.7585</t>
        </is>
      </c>
      <c r="K276" s="10" t="inlineStr"/>
      <c r="L276" s="13" t="inlineStr">
        <is>
          <t>Beloved pie shop and café, a simple slice-and-coffee offer.</t>
        </is>
      </c>
      <c r="M276" s="10" t="inlineStr">
        <is>
          <t>Not checked</t>
        </is>
      </c>
      <c r="N276" s="10" t="inlineStr">
        <is>
          <t>Target</t>
        </is>
      </c>
      <c r="S276" s="14" t="n"/>
      <c r="U276" s="14" t="n"/>
      <c r="X276" s="13" t="inlineStr"/>
      <c r="Y276" s="12" t="inlineStr">
        <is>
          <t>https://spottedbylocals.com/toronto/wandas-pie-in-the-sky</t>
        </is>
      </c>
    </row>
    <row r="277">
      <c r="A277" s="10" t="n">
        <v>276</v>
      </c>
      <c r="B277" s="10" t="n">
        <v>2</v>
      </c>
      <c r="C277" s="11" t="inlineStr">
        <is>
          <t>Alebrije</t>
        </is>
      </c>
      <c r="D277" s="10" t="inlineStr">
        <is>
          <t>The Annex</t>
        </is>
      </c>
      <c r="E277" s="10" t="inlineStr">
        <is>
          <t>Restaurant</t>
        </is>
      </c>
      <c r="F277" s="10" t="inlineStr">
        <is>
          <t>Modern Mexican</t>
        </is>
      </c>
      <c r="G277" s="10" t="inlineStr">
        <is>
          <t>119 Harbord St.</t>
        </is>
      </c>
      <c r="H277" s="12" t="inlineStr">
        <is>
          <t>https://www.alebrijetoronto.com/</t>
        </is>
      </c>
      <c r="I277" s="10" t="inlineStr"/>
      <c r="J277" s="10" t="inlineStr">
        <is>
          <t>647.347.7747</t>
        </is>
      </c>
      <c r="K277" s="10" t="inlineStr"/>
      <c r="L277" s="13" t="inlineStr">
        <is>
          <t>Modern Mexican reviewed in 2026, fits a weeknight date.</t>
        </is>
      </c>
      <c r="M277" s="10" t="inlineStr">
        <is>
          <t>Not checked</t>
        </is>
      </c>
      <c r="N277" s="10" t="inlineStr">
        <is>
          <t>Target</t>
        </is>
      </c>
      <c r="S277" s="14" t="n"/>
      <c r="U277" s="14" t="n"/>
      <c r="X277" s="13" t="inlineStr"/>
      <c r="Y277" s="12" t="inlineStr">
        <is>
          <t>https://www.blogto.com/restaurants/alebrije-toronto/</t>
        </is>
      </c>
    </row>
    <row r="278">
      <c r="A278" s="10" t="n">
        <v>277</v>
      </c>
      <c r="B278" s="10" t="n">
        <v>2</v>
      </c>
      <c r="C278" s="11" t="inlineStr">
        <is>
          <t>Bar Eugenie</t>
        </is>
      </c>
      <c r="D278" s="10" t="inlineStr">
        <is>
          <t>The Annex</t>
        </is>
      </c>
      <c r="E278" s="10" t="inlineStr">
        <is>
          <t>Restaurant</t>
        </is>
      </c>
      <c r="F278" s="10" t="inlineStr">
        <is>
          <t>Eclectic</t>
        </is>
      </c>
      <c r="G278" s="10" t="inlineStr">
        <is>
          <t>89 Harbord St.</t>
        </is>
      </c>
      <c r="H278" s="10" t="inlineStr"/>
      <c r="I278" s="10" t="inlineStr"/>
      <c r="J278" s="10" t="inlineStr">
        <is>
          <t>416.923.6444</t>
        </is>
      </c>
      <c r="K278" s="10" t="inlineStr"/>
      <c r="L278" s="13" t="inlineStr">
        <is>
          <t>New Harbord St restaurant named in the 2026 Michelin selection.</t>
        </is>
      </c>
      <c r="M278" s="10" t="inlineStr">
        <is>
          <t>Not checked</t>
        </is>
      </c>
      <c r="N278" s="10" t="inlineStr">
        <is>
          <t>Target</t>
        </is>
      </c>
      <c r="S278" s="14" t="n"/>
      <c r="U278" s="14" t="n"/>
      <c r="X278" s="13" t="inlineStr"/>
      <c r="Y278" s="12" t="inlineStr">
        <is>
          <t>https://www.blogto.com/restaurants/bar-eugenie-toronto/</t>
        </is>
      </c>
    </row>
    <row r="279">
      <c r="A279" s="10" t="n">
        <v>278</v>
      </c>
      <c r="B279" s="10" t="n">
        <v>2</v>
      </c>
      <c r="C279" s="11" t="inlineStr">
        <is>
          <t>Bar Mercurio</t>
        </is>
      </c>
      <c r="D279" s="10" t="inlineStr">
        <is>
          <t>The Annex</t>
        </is>
      </c>
      <c r="E279" s="10" t="inlineStr">
        <is>
          <t>Restaurant</t>
        </is>
      </c>
      <c r="F279" s="10" t="inlineStr">
        <is>
          <t>Italian</t>
        </is>
      </c>
      <c r="G279" s="10" t="inlineStr">
        <is>
          <t>270 Bloor Street West</t>
        </is>
      </c>
      <c r="H279" s="12" t="inlineStr">
        <is>
          <t>https://www.barmercurio.com/</t>
        </is>
      </c>
      <c r="I279" s="12" t="inlineStr">
        <is>
          <t>@barmercurio</t>
        </is>
      </c>
      <c r="J279" s="10" t="inlineStr">
        <is>
          <t>416 960 3877</t>
        </is>
      </c>
      <c r="K279" s="10" t="inlineStr"/>
      <c r="L279" s="13" t="inlineStr">
        <is>
          <t>Long-running Bloor St Italian with a steady U of T crowd.</t>
        </is>
      </c>
      <c r="M279" s="10" t="inlineStr">
        <is>
          <t>Not checked</t>
        </is>
      </c>
      <c r="N279" s="10" t="inlineStr">
        <is>
          <t>Target</t>
        </is>
      </c>
      <c r="S279" s="14" t="n"/>
      <c r="U279" s="14" t="n"/>
      <c r="X279" s="13" t="inlineStr">
        <is>
          <t>Check it's open before visiting: weak online evidence.</t>
        </is>
      </c>
      <c r="Y279" s="12" t="inlineStr">
        <is>
          <t>https://www.barmercurio.com/</t>
        </is>
      </c>
    </row>
    <row r="280">
      <c r="A280" s="10" t="n">
        <v>279</v>
      </c>
      <c r="B280" s="10" t="n">
        <v>2</v>
      </c>
      <c r="C280" s="11" t="inlineStr">
        <is>
          <t>Bellis</t>
        </is>
      </c>
      <c r="D280" s="10" t="inlineStr">
        <is>
          <t>The Annex</t>
        </is>
      </c>
      <c r="E280" s="10" t="inlineStr">
        <is>
          <t>Restaurant</t>
        </is>
      </c>
      <c r="F280" s="10" t="inlineStr">
        <is>
          <t>Eclectic</t>
        </is>
      </c>
      <c r="G280" s="10" t="inlineStr">
        <is>
          <t>561 Bloor St. W.</t>
        </is>
      </c>
      <c r="H280" s="12" t="inlineStr">
        <is>
          <t>https://www.bellistoronto.com/</t>
        </is>
      </c>
      <c r="I280" s="12" t="inlineStr">
        <is>
          <t>@bellis.toronto</t>
        </is>
      </c>
      <c r="J280" s="10" t="inlineStr">
        <is>
          <t>(647) 930-9790</t>
        </is>
      </c>
      <c r="K280" s="10" t="inlineStr"/>
      <c r="L280" s="13" t="inlineStr">
        <is>
          <t>New Bloor St restaurant reviewed in 2026 that may want regulars.</t>
        </is>
      </c>
      <c r="M280" s="10" t="inlineStr">
        <is>
          <t>Not checked</t>
        </is>
      </c>
      <c r="N280" s="10" t="inlineStr">
        <is>
          <t>Target</t>
        </is>
      </c>
      <c r="S280" s="14" t="n"/>
      <c r="U280" s="14" t="n"/>
      <c r="X280" s="13" t="inlineStr"/>
      <c r="Y280" s="12" t="inlineStr">
        <is>
          <t>https://www.blogto.com/restaurants/bellis-toronto/</t>
        </is>
      </c>
    </row>
    <row r="281">
      <c r="A281" s="10" t="n">
        <v>280</v>
      </c>
      <c r="B281" s="10" t="n">
        <v>2</v>
      </c>
      <c r="C281" s="11" t="inlineStr">
        <is>
          <t>Brasserie Côte</t>
        </is>
      </c>
      <c r="D281" s="10" t="inlineStr">
        <is>
          <t>The Annex</t>
        </is>
      </c>
      <c r="E281" s="10" t="inlineStr">
        <is>
          <t>Restaurant</t>
        </is>
      </c>
      <c r="F281" s="10" t="inlineStr">
        <is>
          <t>French brasserie</t>
        </is>
      </c>
      <c r="G281" s="10" t="inlineStr"/>
      <c r="H281" s="10" t="inlineStr"/>
      <c r="I281" s="10" t="inlineStr"/>
      <c r="J281" s="10" t="inlineStr"/>
      <c r="K281" s="10" t="inlineStr"/>
      <c r="L281" s="13" t="inlineStr">
        <is>
          <t>Named on Toronto Life's 2026 best new list, a high-profile new partner.</t>
        </is>
      </c>
      <c r="M281" s="10" t="inlineStr">
        <is>
          <t>Not checked</t>
        </is>
      </c>
      <c r="N281" s="10" t="inlineStr">
        <is>
          <t>Target</t>
        </is>
      </c>
      <c r="S281" s="14" t="n"/>
      <c r="U281" s="14" t="n"/>
      <c r="X281" s="13" t="inlineStr">
        <is>
          <t>Check it's open before visiting: weak online evidence.</t>
        </is>
      </c>
      <c r="Y281" s="12" t="inlineStr">
        <is>
          <t>https://torontolife.com/deep-dives/these-are-torontos-best-new-restaurants-of-2026/</t>
        </is>
      </c>
    </row>
    <row r="282">
      <c r="A282" s="10" t="n">
        <v>281</v>
      </c>
      <c r="B282" s="10" t="n">
        <v>2</v>
      </c>
      <c r="C282" s="11" t="inlineStr">
        <is>
          <t>Dreyfus</t>
        </is>
      </c>
      <c r="D282" s="10" t="inlineStr">
        <is>
          <t>The Annex</t>
        </is>
      </c>
      <c r="E282" s="10" t="inlineStr">
        <is>
          <t>Restaurant</t>
        </is>
      </c>
      <c r="F282" s="10" t="inlineStr">
        <is>
          <t>French bistro</t>
        </is>
      </c>
      <c r="G282" s="10" t="inlineStr">
        <is>
          <t>96 Harbord St.</t>
        </is>
      </c>
      <c r="H282" s="10" t="inlineStr"/>
      <c r="I282" s="12" t="inlineStr">
        <is>
          <t>@dreyfustoronto</t>
        </is>
      </c>
      <c r="J282" s="10" t="inlineStr">
        <is>
          <t>416.323.1385</t>
        </is>
      </c>
      <c r="K282" s="10" t="inlineStr">
        <is>
          <t>$$$</t>
        </is>
      </c>
      <c r="L282" s="13" t="inlineStr">
        <is>
          <t>Michelin-listed French bistro in a townhouse, made for date nights.</t>
        </is>
      </c>
      <c r="M282" s="10" t="inlineStr">
        <is>
          <t>Not checked</t>
        </is>
      </c>
      <c r="N282" s="10" t="inlineStr">
        <is>
          <t>Target</t>
        </is>
      </c>
      <c r="S282" s="14" t="n"/>
      <c r="U282" s="14" t="n"/>
      <c r="X282" s="13" t="inlineStr"/>
      <c r="Y282" s="12" t="inlineStr">
        <is>
          <t>https://joinpearl.co/lists/michelin-guide-toronto-region-2026</t>
        </is>
      </c>
    </row>
    <row r="283">
      <c r="A283" s="10" t="n">
        <v>282</v>
      </c>
      <c r="B283" s="10" t="n">
        <v>2</v>
      </c>
      <c r="C283" s="11" t="inlineStr">
        <is>
          <t>Fat Pasha</t>
        </is>
      </c>
      <c r="D283" s="10" t="inlineStr">
        <is>
          <t>The Annex</t>
        </is>
      </c>
      <c r="E283" s="10" t="inlineStr">
        <is>
          <t>Restaurant</t>
        </is>
      </c>
      <c r="F283" s="10" t="inlineStr">
        <is>
          <t>Middle Eastern and Jewish</t>
        </is>
      </c>
      <c r="G283" s="10" t="inlineStr">
        <is>
          <t>414 Dupont St.</t>
        </is>
      </c>
      <c r="H283" s="12" t="inlineStr">
        <is>
          <t>https://fatpasha.com/</t>
        </is>
      </c>
      <c r="I283" s="12" t="inlineStr">
        <is>
          <t>@fatpasha</t>
        </is>
      </c>
      <c r="J283" s="10" t="inlineStr">
        <is>
          <t>(647) 646-1698</t>
        </is>
      </c>
      <c r="K283" s="10" t="inlineStr"/>
      <c r="L283" s="13" t="inlineStr">
        <is>
          <t>Well-known chef-led restaurant that fits a sharing dinner.</t>
        </is>
      </c>
      <c r="M283" s="10" t="inlineStr">
        <is>
          <t>Not checked</t>
        </is>
      </c>
      <c r="N283" s="10" t="inlineStr">
        <is>
          <t>Target</t>
        </is>
      </c>
      <c r="S283" s="14" t="n"/>
      <c r="U283" s="14" t="n"/>
      <c r="X283" s="13" t="inlineStr">
        <is>
          <t>Check it's open before visiting: weak online evidence.</t>
        </is>
      </c>
      <c r="Y283" s="12" t="inlineStr">
        <is>
          <t>https://fatpasha.com/</t>
        </is>
      </c>
    </row>
    <row r="284">
      <c r="A284" s="10" t="n">
        <v>283</v>
      </c>
      <c r="B284" s="10" t="n">
        <v>2</v>
      </c>
      <c r="C284" s="11" t="inlineStr">
        <is>
          <t>Golden Horseshoe BBQ</t>
        </is>
      </c>
      <c r="D284" s="10" t="inlineStr">
        <is>
          <t>The Annex</t>
        </is>
      </c>
      <c r="E284" s="10" t="inlineStr">
        <is>
          <t>Restaurant</t>
        </is>
      </c>
      <c r="F284" s="10" t="inlineStr">
        <is>
          <t>Texas barbecue</t>
        </is>
      </c>
      <c r="G284" s="10" t="inlineStr">
        <is>
          <t>657 Dupont St.</t>
        </is>
      </c>
      <c r="H284" s="12" t="inlineStr">
        <is>
          <t>https://goldenhorseshoebbq.com/</t>
        </is>
      </c>
      <c r="I284" s="10" t="inlineStr"/>
      <c r="J284" s="10" t="inlineStr">
        <is>
          <t>(416) 532-9292</t>
        </is>
      </c>
      <c r="K284" s="10" t="inlineStr"/>
      <c r="L284" s="13" t="inlineStr">
        <is>
          <t>New 2026 Bib Gourmand barbecue, made for sharing.</t>
        </is>
      </c>
      <c r="M284" s="10" t="inlineStr">
        <is>
          <t>Not checked</t>
        </is>
      </c>
      <c r="N284" s="10" t="inlineStr">
        <is>
          <t>Target</t>
        </is>
      </c>
      <c r="S284" s="14" t="n"/>
      <c r="U284" s="14" t="n"/>
      <c r="X284" s="13" t="inlineStr"/>
      <c r="Y284" s="12" t="inlineStr">
        <is>
          <t>https://www.destinationtoronto.com/restaurants/michelin/</t>
        </is>
      </c>
    </row>
    <row r="285">
      <c r="A285" s="10" t="n">
        <v>284</v>
      </c>
      <c r="B285" s="10" t="n">
        <v>2</v>
      </c>
      <c r="C285" s="11" t="inlineStr">
        <is>
          <t>Le Paradis</t>
        </is>
      </c>
      <c r="D285" s="10" t="inlineStr">
        <is>
          <t>The Annex</t>
        </is>
      </c>
      <c r="E285" s="10" t="inlineStr">
        <is>
          <t>Restaurant</t>
        </is>
      </c>
      <c r="F285" s="10" t="inlineStr">
        <is>
          <t>French bistro</t>
        </is>
      </c>
      <c r="G285" s="10" t="inlineStr">
        <is>
          <t>166 Bedford Rd.</t>
        </is>
      </c>
      <c r="H285" s="12" t="inlineStr">
        <is>
          <t>https://www.leparadis.com/default.aspx</t>
        </is>
      </c>
      <c r="I285" s="12" t="inlineStr">
        <is>
          <t>@paradisbistro</t>
        </is>
      </c>
      <c r="J285" s="10" t="inlineStr">
        <is>
          <t>416-921-0995</t>
        </is>
      </c>
      <c r="K285" s="10" t="inlineStr"/>
      <c r="L285" s="13" t="inlineStr">
        <is>
          <t>Classic French brasserie with a loyal crowd.</t>
        </is>
      </c>
      <c r="M285" s="10" t="inlineStr">
        <is>
          <t>Not checked</t>
        </is>
      </c>
      <c r="N285" s="10" t="inlineStr">
        <is>
          <t>Target</t>
        </is>
      </c>
      <c r="S285" s="14" t="n"/>
      <c r="U285" s="14" t="n"/>
      <c r="X285" s="13" t="inlineStr">
        <is>
          <t>Check it's open before visiting: weak online evidence.</t>
        </is>
      </c>
      <c r="Y285" s="12" t="inlineStr">
        <is>
          <t>https://www.leparadis.com/</t>
        </is>
      </c>
    </row>
    <row r="286">
      <c r="A286" s="10" t="n">
        <v>285</v>
      </c>
      <c r="B286" s="10" t="n">
        <v>2</v>
      </c>
      <c r="C286" s="11" t="inlineStr">
        <is>
          <t>Maven</t>
        </is>
      </c>
      <c r="D286" s="10" t="inlineStr">
        <is>
          <t>The Annex</t>
        </is>
      </c>
      <c r="E286" s="10" t="inlineStr">
        <is>
          <t>Restaurant</t>
        </is>
      </c>
      <c r="F286" s="10" t="inlineStr">
        <is>
          <t>Eastern European</t>
        </is>
      </c>
      <c r="G286" s="10" t="inlineStr">
        <is>
          <t>112 Harbord Street</t>
        </is>
      </c>
      <c r="H286" s="12" t="inlineStr">
        <is>
          <t>https://www.maventoronto.ca/</t>
        </is>
      </c>
      <c r="I286" s="12" t="inlineStr">
        <is>
          <t>@maventoronto</t>
        </is>
      </c>
      <c r="J286" s="10" t="inlineStr">
        <is>
          <t>(647) 348 9666</t>
        </is>
      </c>
      <c r="K286" s="10" t="inlineStr"/>
      <c r="L286" s="13" t="inlineStr">
        <is>
          <t>Harbord St restaurant reviewed in 2025, good for a dinner for two.</t>
        </is>
      </c>
      <c r="M286" s="10" t="inlineStr">
        <is>
          <t>Not checked</t>
        </is>
      </c>
      <c r="N286" s="10" t="inlineStr">
        <is>
          <t>Target</t>
        </is>
      </c>
      <c r="S286" s="14" t="n"/>
      <c r="U286" s="14" t="n"/>
      <c r="X286" s="13" t="inlineStr"/>
      <c r="Y286" s="12" t="inlineStr">
        <is>
          <t>https://www.blogto.com/restaurants/maven-toronto/</t>
        </is>
      </c>
    </row>
    <row r="287">
      <c r="A287" s="10" t="n">
        <v>286</v>
      </c>
      <c r="B287" s="10" t="n">
        <v>2</v>
      </c>
      <c r="C287" s="11" t="inlineStr">
        <is>
          <t>Mezcalero</t>
        </is>
      </c>
      <c r="D287" s="10" t="inlineStr">
        <is>
          <t>The Annex</t>
        </is>
      </c>
      <c r="E287" s="10" t="inlineStr">
        <is>
          <t>Restaurant</t>
        </is>
      </c>
      <c r="F287" s="10" t="inlineStr">
        <is>
          <t>Mexican</t>
        </is>
      </c>
      <c r="G287" s="10" t="inlineStr">
        <is>
          <t>509 Bloor Street West</t>
        </is>
      </c>
      <c r="H287" s="12" t="inlineStr">
        <is>
          <t>https://www.mezcalerotoronto.com/</t>
        </is>
      </c>
      <c r="I287" s="12" t="inlineStr">
        <is>
          <t>@mezcalerotoronto</t>
        </is>
      </c>
      <c r="J287" s="10" t="inlineStr">
        <is>
          <t>416 929-8859</t>
        </is>
      </c>
      <c r="K287" s="10" t="inlineStr"/>
      <c r="L287" s="13" t="inlineStr">
        <is>
          <t>Mexican restaurant with recent 2026 reviews, good for groups.</t>
        </is>
      </c>
      <c r="M287" s="10" t="inlineStr">
        <is>
          <t>Not checked</t>
        </is>
      </c>
      <c r="N287" s="10" t="inlineStr">
        <is>
          <t>Target</t>
        </is>
      </c>
      <c r="S287" s="14" t="n"/>
      <c r="U287" s="14" t="n"/>
      <c r="X287" s="13" t="inlineStr"/>
      <c r="Y287" s="12" t="inlineStr">
        <is>
          <t>https://www.mezcalerotoronto.com/</t>
        </is>
      </c>
    </row>
    <row r="288">
      <c r="A288" s="10" t="n">
        <v>287</v>
      </c>
      <c r="B288" s="10" t="n">
        <v>2</v>
      </c>
      <c r="C288" s="11" t="inlineStr">
        <is>
          <t>Nice Slice</t>
        </is>
      </c>
      <c r="D288" s="10" t="inlineStr">
        <is>
          <t>The Annex</t>
        </is>
      </c>
      <c r="E288" s="10" t="inlineStr">
        <is>
          <t>Restaurant</t>
        </is>
      </c>
      <c r="F288" s="10" t="inlineStr">
        <is>
          <t>Pizza</t>
        </is>
      </c>
      <c r="G288" s="10" t="inlineStr">
        <is>
          <t>196 Borden St.</t>
        </is>
      </c>
      <c r="H288" s="10" t="inlineStr"/>
      <c r="I288" s="12" t="inlineStr">
        <is>
          <t>@niceslice.to</t>
        </is>
      </c>
      <c r="J288" s="10" t="inlineStr">
        <is>
          <t>647.438.8287</t>
        </is>
      </c>
      <c r="K288" s="10" t="inlineStr"/>
      <c r="L288" s="13" t="inlineStr">
        <is>
          <t>Harbord Village pizzeria featured in 2026 coverage, good for students.</t>
        </is>
      </c>
      <c r="M288" s="10" t="inlineStr">
        <is>
          <t>Not checked</t>
        </is>
      </c>
      <c r="N288" s="10" t="inlineStr">
        <is>
          <t>Target</t>
        </is>
      </c>
      <c r="S288" s="14" t="n"/>
      <c r="U288" s="14" t="n"/>
      <c r="X288" s="13" t="inlineStr"/>
      <c r="Y288" s="12" t="inlineStr">
        <is>
          <t>https://www.blogto.com/restaurants/nice-slice-toronto/</t>
        </is>
      </c>
    </row>
    <row r="289">
      <c r="A289" s="10" t="n">
        <v>288</v>
      </c>
      <c r="B289" s="10" t="n">
        <v>2</v>
      </c>
      <c r="C289" s="11" t="inlineStr">
        <is>
          <t>Parquet</t>
        </is>
      </c>
      <c r="D289" s="10" t="inlineStr">
        <is>
          <t>The Annex</t>
        </is>
      </c>
      <c r="E289" s="10" t="inlineStr">
        <is>
          <t>Restaurant</t>
        </is>
      </c>
      <c r="F289" s="10" t="inlineStr">
        <is>
          <t>French</t>
        </is>
      </c>
      <c r="G289" s="10" t="inlineStr">
        <is>
          <t>97 Harbord St.</t>
        </is>
      </c>
      <c r="H289" s="12" t="inlineStr">
        <is>
          <t>https://restaurantparquet.com/</t>
        </is>
      </c>
      <c r="I289" s="12" t="inlineStr">
        <is>
          <t>@restaurantparquet</t>
        </is>
      </c>
      <c r="J289" s="10" t="inlineStr">
        <is>
          <t>416-922-2345</t>
        </is>
      </c>
      <c r="K289" s="10" t="inlineStr">
        <is>
          <t>$$$</t>
        </is>
      </c>
      <c r="L289" s="13" t="inlineStr">
        <is>
          <t>Michelin-listed French bistro on Harbord, a premium fit.</t>
        </is>
      </c>
      <c r="M289" s="10" t="inlineStr">
        <is>
          <t>Not checked</t>
        </is>
      </c>
      <c r="N289" s="10" t="inlineStr">
        <is>
          <t>Target</t>
        </is>
      </c>
      <c r="S289" s="14" t="n"/>
      <c r="U289" s="14" t="n"/>
      <c r="X289" s="13" t="inlineStr"/>
      <c r="Y289" s="12" t="inlineStr">
        <is>
          <t>https://guide.michelin.com/us/en/ontario/toronto/restaurant/parquet</t>
        </is>
      </c>
    </row>
    <row r="290">
      <c r="A290" s="10" t="n">
        <v>289</v>
      </c>
      <c r="B290" s="10" t="n">
        <v>2</v>
      </c>
      <c r="C290" s="11" t="inlineStr">
        <is>
          <t>Peaceful Restaurant</t>
        </is>
      </c>
      <c r="D290" s="10" t="inlineStr">
        <is>
          <t>The Annex</t>
        </is>
      </c>
      <c r="E290" s="10" t="inlineStr">
        <is>
          <t>Restaurant</t>
        </is>
      </c>
      <c r="F290" s="10" t="inlineStr">
        <is>
          <t>Chinese</t>
        </is>
      </c>
      <c r="G290" s="10" t="inlineStr">
        <is>
          <t>515 Bloor St. W.</t>
        </is>
      </c>
      <c r="H290" s="12" t="inlineStr">
        <is>
          <t>https://www.peacefulrestaurant.com/</t>
        </is>
      </c>
      <c r="I290" s="10" t="inlineStr"/>
      <c r="J290" s="10" t="inlineStr">
        <is>
          <t>416.530.0800</t>
        </is>
      </c>
      <c r="K290" s="10" t="inlineStr"/>
      <c r="L290" s="13" t="inlineStr">
        <is>
          <t>Chinese noodle and dumpling spot listed in 2025, good for students.</t>
        </is>
      </c>
      <c r="M290" s="10" t="inlineStr">
        <is>
          <t>Not checked</t>
        </is>
      </c>
      <c r="N290" s="10" t="inlineStr">
        <is>
          <t>Target</t>
        </is>
      </c>
      <c r="S290" s="14" t="n"/>
      <c r="U290" s="14" t="n"/>
      <c r="X290" s="13" t="inlineStr"/>
      <c r="Y290" s="12" t="inlineStr">
        <is>
          <t>https://www.blogto.com/restaurants/peaceful-restaurant-toronto/</t>
        </is>
      </c>
    </row>
    <row r="291">
      <c r="A291" s="10" t="n">
        <v>290</v>
      </c>
      <c r="B291" s="10" t="n">
        <v>2</v>
      </c>
      <c r="C291" s="11" t="inlineStr">
        <is>
          <t>Rasa</t>
        </is>
      </c>
      <c r="D291" s="10" t="inlineStr">
        <is>
          <t>The Annex</t>
        </is>
      </c>
      <c r="E291" s="10" t="inlineStr">
        <is>
          <t>Restaurant</t>
        </is>
      </c>
      <c r="F291" s="10" t="inlineStr">
        <is>
          <t>Contemporary</t>
        </is>
      </c>
      <c r="G291" s="10" t="inlineStr">
        <is>
          <t>196 Robert St.</t>
        </is>
      </c>
      <c r="H291" s="12" t="inlineStr">
        <is>
          <t>https://www.rasabar.ca/</t>
        </is>
      </c>
      <c r="I291" s="12" t="inlineStr">
        <is>
          <t>@rasarestaurantto</t>
        </is>
      </c>
      <c r="J291" s="10" t="inlineStr">
        <is>
          <t>647 350 8221</t>
        </is>
      </c>
      <c r="K291" s="10" t="inlineStr"/>
      <c r="L291" s="13" t="inlineStr">
        <is>
          <t>Bib Gourmand restaurant near Harbord, good for a dinner for two.</t>
        </is>
      </c>
      <c r="M291" s="10" t="inlineStr">
        <is>
          <t>Not checked</t>
        </is>
      </c>
      <c r="N291" s="10" t="inlineStr">
        <is>
          <t>Target</t>
        </is>
      </c>
      <c r="S291" s="14" t="n"/>
      <c r="U291" s="14" t="n"/>
      <c r="X291" s="13" t="inlineStr"/>
      <c r="Y291" s="12" t="inlineStr">
        <is>
          <t>https://www.destinationtoronto.com/restaurants/michelin/</t>
        </is>
      </c>
    </row>
    <row r="292">
      <c r="A292" s="10" t="n">
        <v>291</v>
      </c>
      <c r="B292" s="10" t="n">
        <v>2</v>
      </c>
      <c r="C292" s="11" t="inlineStr">
        <is>
          <t>Chadwick's</t>
        </is>
      </c>
      <c r="D292" s="10" t="inlineStr">
        <is>
          <t>The Annex</t>
        </is>
      </c>
      <c r="E292" s="10" t="inlineStr">
        <is>
          <t>Brunch</t>
        </is>
      </c>
      <c r="F292" s="10" t="inlineStr">
        <is>
          <t>Seasonal comfort food</t>
        </is>
      </c>
      <c r="G292" s="10" t="inlineStr">
        <is>
          <t>268 Howland Avenue</t>
        </is>
      </c>
      <c r="H292" s="12" t="inlineStr">
        <is>
          <t>https://www.chadwicks.ca/</t>
        </is>
      </c>
      <c r="I292" s="12" t="inlineStr">
        <is>
          <t>@chadwickskitchenbar</t>
        </is>
      </c>
      <c r="J292" s="10" t="inlineStr">
        <is>
          <t>416.944.1606</t>
        </is>
      </c>
      <c r="K292" s="10" t="inlineStr"/>
      <c r="L292" s="13" t="inlineStr">
        <is>
          <t>Neighbourhood brunch and dinner spot with posted current hours.</t>
        </is>
      </c>
      <c r="M292" s="10" t="inlineStr">
        <is>
          <t>Not checked</t>
        </is>
      </c>
      <c r="N292" s="10" t="inlineStr">
        <is>
          <t>Target</t>
        </is>
      </c>
      <c r="S292" s="14" t="n"/>
      <c r="U292" s="14" t="n"/>
      <c r="X292" s="13" t="inlineStr">
        <is>
          <t>Check it's open before visiting: weak online evidence.</t>
        </is>
      </c>
      <c r="Y292" s="12" t="inlineStr">
        <is>
          <t>https://www.chadwicks.ca/</t>
        </is>
      </c>
    </row>
    <row r="293">
      <c r="A293" s="10" t="n">
        <v>292</v>
      </c>
      <c r="B293" s="10" t="n">
        <v>2</v>
      </c>
      <c r="C293" s="11" t="inlineStr">
        <is>
          <t>Daisy May's</t>
        </is>
      </c>
      <c r="D293" s="10" t="inlineStr">
        <is>
          <t>The Annex</t>
        </is>
      </c>
      <c r="E293" s="10" t="inlineStr">
        <is>
          <t>Brunch</t>
        </is>
      </c>
      <c r="F293" s="10" t="inlineStr">
        <is>
          <t>Diner and brunch</t>
        </is>
      </c>
      <c r="G293" s="10" t="inlineStr">
        <is>
          <t>968 Bathurst St.</t>
        </is>
      </c>
      <c r="H293" s="10" t="inlineStr"/>
      <c r="I293" s="12" t="inlineStr">
        <is>
          <t>@daisymays_to</t>
        </is>
      </c>
      <c r="J293" s="10" t="inlineStr"/>
      <c r="K293" s="10" t="inlineStr"/>
      <c r="L293" s="13" t="inlineStr">
        <is>
          <t>Diner and brunch spot reviewed in 2025, good for weekend offers.</t>
        </is>
      </c>
      <c r="M293" s="10" t="inlineStr">
        <is>
          <t>Not checked</t>
        </is>
      </c>
      <c r="N293" s="10" t="inlineStr">
        <is>
          <t>Target</t>
        </is>
      </c>
      <c r="S293" s="14" t="n"/>
      <c r="U293" s="14" t="n"/>
      <c r="X293" s="13" t="inlineStr"/>
      <c r="Y293" s="12" t="inlineStr">
        <is>
          <t>https://www.blogto.com/restaurants/daisy-mays/</t>
        </is>
      </c>
    </row>
    <row r="294">
      <c r="A294" s="10" t="n">
        <v>293</v>
      </c>
      <c r="B294" s="10" t="n">
        <v>2</v>
      </c>
      <c r="C294" s="11" t="inlineStr">
        <is>
          <t>Arbequina</t>
        </is>
      </c>
      <c r="D294" s="10" t="inlineStr">
        <is>
          <t>Roncesvalles</t>
        </is>
      </c>
      <c r="E294" s="10" t="inlineStr">
        <is>
          <t>Restaurant</t>
        </is>
      </c>
      <c r="F294" s="10" t="inlineStr">
        <is>
          <t>Levantine</t>
        </is>
      </c>
      <c r="G294" s="10" t="inlineStr">
        <is>
          <t>325 Roncesvalles Avenue</t>
        </is>
      </c>
      <c r="H294" s="12" t="inlineStr">
        <is>
          <t>https://arbequinato.com/</t>
        </is>
      </c>
      <c r="I294" s="12" t="inlineStr">
        <is>
          <t>@arbequina_restaurant</t>
        </is>
      </c>
      <c r="J294" s="10" t="inlineStr">
        <is>
          <t>4165330786</t>
        </is>
      </c>
      <c r="K294" s="10" t="inlineStr">
        <is>
          <t>$$$</t>
        </is>
      </c>
      <c r="L294" s="13" t="inlineStr">
        <is>
          <t>Michelin-listed and fully alcohol-free, a clean fit for our offer rules.</t>
        </is>
      </c>
      <c r="M294" s="10" t="inlineStr">
        <is>
          <t>Not checked</t>
        </is>
      </c>
      <c r="N294" s="10" t="inlineStr">
        <is>
          <t>Target</t>
        </is>
      </c>
      <c r="S294" s="14" t="n"/>
      <c r="U294" s="14" t="n"/>
      <c r="X294" s="13" t="inlineStr"/>
      <c r="Y294" s="12" t="inlineStr">
        <is>
          <t>https://menumag.ca/2025/05/13/arbequina-inspired-by-love-levantine-cuisine-local-food/</t>
        </is>
      </c>
    </row>
    <row r="295">
      <c r="A295" s="10" t="n">
        <v>294</v>
      </c>
      <c r="B295" s="10" t="n">
        <v>2</v>
      </c>
      <c r="C295" s="11" t="inlineStr">
        <is>
          <t>Barque Smokehouse</t>
        </is>
      </c>
      <c r="D295" s="10" t="inlineStr">
        <is>
          <t>Roncesvalles</t>
        </is>
      </c>
      <c r="E295" s="10" t="inlineStr">
        <is>
          <t>Restaurant</t>
        </is>
      </c>
      <c r="F295" s="10" t="inlineStr">
        <is>
          <t>Barbecue</t>
        </is>
      </c>
      <c r="G295" s="10" t="inlineStr">
        <is>
          <t>299 Roncesvalles Avenue</t>
        </is>
      </c>
      <c r="H295" s="12" t="inlineStr">
        <is>
          <t>https://www.barque.ca/</t>
        </is>
      </c>
      <c r="I295" s="12" t="inlineStr">
        <is>
          <t>@barquebbq</t>
        </is>
      </c>
      <c r="J295" s="10" t="inlineStr">
        <is>
          <t>(416) 532-7700</t>
        </is>
      </c>
      <c r="K295" s="10" t="inlineStr"/>
      <c r="L295" s="13" t="inlineStr">
        <is>
          <t>Local barbecue staple with a new 2026 format, good for sharing.</t>
        </is>
      </c>
      <c r="M295" s="10" t="inlineStr">
        <is>
          <t>Not checked</t>
        </is>
      </c>
      <c r="N295" s="10" t="inlineStr">
        <is>
          <t>Target</t>
        </is>
      </c>
      <c r="S295" s="14" t="n"/>
      <c r="U295" s="14" t="n"/>
      <c r="X295" s="13" t="inlineStr"/>
      <c r="Y295" s="12" t="inlineStr">
        <is>
          <t>https://www.blogto.com/eat_drink/2026/07/barque-bbq-xo-bisous-toronto/</t>
        </is>
      </c>
    </row>
    <row r="296">
      <c r="A296" s="10" t="n">
        <v>295</v>
      </c>
      <c r="B296" s="10" t="n">
        <v>2</v>
      </c>
      <c r="C296" s="11" t="inlineStr">
        <is>
          <t>BB's</t>
        </is>
      </c>
      <c r="D296" s="10" t="inlineStr">
        <is>
          <t>Roncesvalles</t>
        </is>
      </c>
      <c r="E296" s="10" t="inlineStr">
        <is>
          <t>Restaurant</t>
        </is>
      </c>
      <c r="F296" s="10" t="inlineStr">
        <is>
          <t>Filipino</t>
        </is>
      </c>
      <c r="G296" s="10" t="inlineStr">
        <is>
          <t>5 Brock Ave</t>
        </is>
      </c>
      <c r="H296" s="10" t="inlineStr"/>
      <c r="I296" s="10" t="inlineStr"/>
      <c r="J296" s="10" t="inlineStr"/>
      <c r="K296" s="10" t="inlineStr">
        <is>
          <t>$$</t>
        </is>
      </c>
      <c r="L296" s="13" t="inlineStr">
        <is>
          <t>Bib Gourmand Filipino diner, a strong value draw.</t>
        </is>
      </c>
      <c r="M296" s="10" t="inlineStr">
        <is>
          <t>Not checked</t>
        </is>
      </c>
      <c r="N296" s="10" t="inlineStr">
        <is>
          <t>Target</t>
        </is>
      </c>
      <c r="S296" s="14" t="n"/>
      <c r="U296" s="14" t="n"/>
      <c r="X296" s="13" t="inlineStr"/>
      <c r="Y296" s="12" t="inlineStr">
        <is>
          <t>https://www.destinationtoronto.com/restaurants/michelin/</t>
        </is>
      </c>
    </row>
    <row r="297">
      <c r="A297" s="10" t="n">
        <v>296</v>
      </c>
      <c r="B297" s="10" t="n">
        <v>2</v>
      </c>
      <c r="C297" s="11" t="inlineStr">
        <is>
          <t>Cafe Polonez</t>
        </is>
      </c>
      <c r="D297" s="10" t="inlineStr">
        <is>
          <t>Roncesvalles</t>
        </is>
      </c>
      <c r="E297" s="10" t="inlineStr">
        <is>
          <t>Restaurant</t>
        </is>
      </c>
      <c r="F297" s="10" t="inlineStr">
        <is>
          <t>Polish</t>
        </is>
      </c>
      <c r="G297" s="10" t="inlineStr">
        <is>
          <t>195 Roncesvalles Avenue</t>
        </is>
      </c>
      <c r="H297" s="12" t="inlineStr">
        <is>
          <t>http://www.cafepolonez.ca</t>
        </is>
      </c>
      <c r="I297" s="10" t="inlineStr"/>
      <c r="J297" s="10" t="inlineStr">
        <is>
          <t>416-532-8432</t>
        </is>
      </c>
      <c r="K297" s="10" t="inlineStr"/>
      <c r="L297" s="13" t="inlineStr">
        <is>
          <t>Family-run Polish institution with a loyal following.</t>
        </is>
      </c>
      <c r="M297" s="10" t="inlineStr">
        <is>
          <t>Not checked</t>
        </is>
      </c>
      <c r="N297" s="10" t="inlineStr">
        <is>
          <t>Target</t>
        </is>
      </c>
      <c r="S297" s="14" t="n"/>
      <c r="U297" s="14" t="n"/>
      <c r="X297" s="13" t="inlineStr"/>
      <c r="Y297" s="12" t="inlineStr">
        <is>
          <t>https://tastet.ca/en/reviews/cafe-polonez-torontos-45-year-old-polish-institution-on-roncesvalles/</t>
        </is>
      </c>
    </row>
    <row r="298">
      <c r="A298" s="10" t="n">
        <v>297</v>
      </c>
      <c r="B298" s="10" t="n">
        <v>2</v>
      </c>
      <c r="C298" s="11" t="inlineStr">
        <is>
          <t>Dil Se</t>
        </is>
      </c>
      <c r="D298" s="10" t="inlineStr">
        <is>
          <t>Roncesvalles</t>
        </is>
      </c>
      <c r="E298" s="10" t="inlineStr">
        <is>
          <t>Restaurant</t>
        </is>
      </c>
      <c r="F298" s="10" t="inlineStr">
        <is>
          <t>North Indian</t>
        </is>
      </c>
      <c r="G298" s="10" t="inlineStr">
        <is>
          <t>335 Roncesvalles Ave</t>
        </is>
      </c>
      <c r="H298" s="12" t="inlineStr">
        <is>
          <t>https://www.dilse.ca/</t>
        </is>
      </c>
      <c r="I298" s="12" t="inlineStr">
        <is>
          <t>@dilse.ca</t>
        </is>
      </c>
      <c r="J298" s="10" t="inlineStr">
        <is>
          <t>416.532.4141</t>
        </is>
      </c>
      <c r="K298" s="10" t="inlineStr"/>
      <c r="L298" s="13" t="inlineStr">
        <is>
          <t>North Indian spot with current hours, good for shared plates.</t>
        </is>
      </c>
      <c r="M298" s="10" t="inlineStr">
        <is>
          <t>Not checked</t>
        </is>
      </c>
      <c r="N298" s="10" t="inlineStr">
        <is>
          <t>Target</t>
        </is>
      </c>
      <c r="S298" s="14" t="n"/>
      <c r="U298" s="14" t="n"/>
      <c r="X298" s="13" t="inlineStr">
        <is>
          <t>Check it's open before visiting: weak online evidence.</t>
        </is>
      </c>
      <c r="Y298" s="12" t="inlineStr">
        <is>
          <t>https://www.dilse.ca/</t>
        </is>
      </c>
    </row>
    <row r="299">
      <c r="A299" s="10" t="n">
        <v>298</v>
      </c>
      <c r="B299" s="10" t="n">
        <v>2</v>
      </c>
      <c r="C299" s="11" t="inlineStr">
        <is>
          <t>Musoshin Ramen</t>
        </is>
      </c>
      <c r="D299" s="10" t="inlineStr">
        <is>
          <t>Roncesvalles</t>
        </is>
      </c>
      <c r="E299" s="10" t="inlineStr">
        <is>
          <t>Restaurant</t>
        </is>
      </c>
      <c r="F299" s="10" t="inlineStr">
        <is>
          <t>Japanese ramen</t>
        </is>
      </c>
      <c r="G299" s="10" t="inlineStr">
        <is>
          <t>9 Boustead Avenue</t>
        </is>
      </c>
      <c r="H299" s="12" t="inlineStr">
        <is>
          <t>https://www.musoshin.com/</t>
        </is>
      </c>
      <c r="I299" s="10" t="inlineStr"/>
      <c r="J299" s="10" t="inlineStr">
        <is>
          <t>416.537.3588</t>
        </is>
      </c>
      <c r="K299" s="10" t="inlineStr">
        <is>
          <t>$$</t>
        </is>
      </c>
      <c r="L299" s="13" t="inlineStr">
        <is>
          <t>Michelin-listed ramen bar, a quick bring-a-friend meal.</t>
        </is>
      </c>
      <c r="M299" s="10" t="inlineStr">
        <is>
          <t>Not checked</t>
        </is>
      </c>
      <c r="N299" s="10" t="inlineStr">
        <is>
          <t>Target</t>
        </is>
      </c>
      <c r="S299" s="14" t="n"/>
      <c r="U299" s="14" t="n"/>
      <c r="X299" s="13" t="inlineStr"/>
      <c r="Y299" s="12" t="inlineStr">
        <is>
          <t>https://joinpearl.co/lists/michelin-guide-toronto-region-2026</t>
        </is>
      </c>
    </row>
    <row r="300">
      <c r="A300" s="10" t="n">
        <v>299</v>
      </c>
      <c r="B300" s="10" t="n">
        <v>2</v>
      </c>
      <c r="C300" s="11" t="inlineStr">
        <is>
          <t>Proper</t>
        </is>
      </c>
      <c r="D300" s="10" t="inlineStr">
        <is>
          <t>Roncesvalles</t>
        </is>
      </c>
      <c r="E300" s="10" t="inlineStr">
        <is>
          <t>Restaurant</t>
        </is>
      </c>
      <c r="F300" s="10" t="inlineStr">
        <is>
          <t>Italian</t>
        </is>
      </c>
      <c r="G300" s="10" t="inlineStr">
        <is>
          <t>392 Roncesvalles Ave.</t>
        </is>
      </c>
      <c r="H300" s="12" t="inlineStr">
        <is>
          <t>https://www.properfb.com/</t>
        </is>
      </c>
      <c r="I300" s="12" t="inlineStr">
        <is>
          <t>@proper.to</t>
        </is>
      </c>
      <c r="J300" s="10" t="inlineStr">
        <is>
          <t>416-539-9089</t>
        </is>
      </c>
      <c r="K300" s="10" t="inlineStr"/>
      <c r="L300" s="13" t="inlineStr">
        <is>
          <t>Italian spot reviewed in 2026, fits a second-main offer.</t>
        </is>
      </c>
      <c r="M300" s="10" t="inlineStr">
        <is>
          <t>Not checked</t>
        </is>
      </c>
      <c r="N300" s="10" t="inlineStr">
        <is>
          <t>Target</t>
        </is>
      </c>
      <c r="S300" s="14" t="n"/>
      <c r="U300" s="14" t="n"/>
      <c r="X300" s="13" t="inlineStr"/>
      <c r="Y300" s="12" t="inlineStr">
        <is>
          <t>https://www.blogto.com/restaurants/proper-toronto/</t>
        </is>
      </c>
    </row>
    <row r="301">
      <c r="A301" s="10" t="n">
        <v>300</v>
      </c>
      <c r="B301" s="10" t="n">
        <v>2</v>
      </c>
      <c r="C301" s="11" t="inlineStr">
        <is>
          <t>Sorry I've Got Plants</t>
        </is>
      </c>
      <c r="D301" s="10" t="inlineStr">
        <is>
          <t>Roncesvalles</t>
        </is>
      </c>
      <c r="E301" s="10" t="inlineStr">
        <is>
          <t>Restaurant</t>
        </is>
      </c>
      <c r="F301" s="10" t="inlineStr">
        <is>
          <t>Vegan</t>
        </is>
      </c>
      <c r="G301" s="10" t="inlineStr">
        <is>
          <t>476 Roncesvalles Avenue</t>
        </is>
      </c>
      <c r="H301" s="12" t="inlineStr">
        <is>
          <t>https://sorryivegotplants.com/</t>
        </is>
      </c>
      <c r="I301" s="12" t="inlineStr">
        <is>
          <t>@sorryivegotplants</t>
        </is>
      </c>
      <c r="J301" s="10" t="inlineStr">
        <is>
          <t>647.636.5223</t>
        </is>
      </c>
      <c r="K301" s="10" t="inlineStr"/>
      <c r="L301" s="13" t="inlineStr">
        <is>
          <t>Plant-based spot that serves members who eat vegan.</t>
        </is>
      </c>
      <c r="M301" s="10" t="inlineStr">
        <is>
          <t>Not checked</t>
        </is>
      </c>
      <c r="N301" s="10" t="inlineStr">
        <is>
          <t>Target</t>
        </is>
      </c>
      <c r="S301" s="14" t="n"/>
      <c r="U301" s="14" t="n"/>
      <c r="X301" s="13" t="inlineStr">
        <is>
          <t>Check it's open before visiting: weak online evidence.</t>
        </is>
      </c>
      <c r="Y301" s="12" t="inlineStr">
        <is>
          <t>https://sorryivegotplants.com/</t>
        </is>
      </c>
    </row>
    <row r="302">
      <c r="A302" s="10" t="n">
        <v>301</v>
      </c>
      <c r="B302" s="10" t="n">
        <v>2</v>
      </c>
      <c r="C302" s="11" t="inlineStr">
        <is>
          <t>The Ace</t>
        </is>
      </c>
      <c r="D302" s="10" t="inlineStr">
        <is>
          <t>Roncesvalles</t>
        </is>
      </c>
      <c r="E302" s="10" t="inlineStr">
        <is>
          <t>Restaurant</t>
        </is>
      </c>
      <c r="F302" s="10" t="inlineStr">
        <is>
          <t>Diner</t>
        </is>
      </c>
      <c r="G302" s="10" t="inlineStr">
        <is>
          <t>231 Roncesvalles Ave</t>
        </is>
      </c>
      <c r="H302" s="12" t="inlineStr">
        <is>
          <t>https://www.theacetoronto.com/</t>
        </is>
      </c>
      <c r="I302" s="12" t="inlineStr">
        <is>
          <t>@theacetoronto</t>
        </is>
      </c>
      <c r="J302" s="10" t="inlineStr">
        <is>
          <t>(416) 792-7729</t>
        </is>
      </c>
      <c r="K302" s="10" t="inlineStr">
        <is>
          <t>$$</t>
        </is>
      </c>
      <c r="L302" s="13" t="inlineStr">
        <is>
          <t>Bib Gourmand neighbourhood diner, a natural bring-someone spot.</t>
        </is>
      </c>
      <c r="M302" s="10" t="inlineStr">
        <is>
          <t>Not checked</t>
        </is>
      </c>
      <c r="N302" s="10" t="inlineStr">
        <is>
          <t>Target</t>
        </is>
      </c>
      <c r="S302" s="14" t="n"/>
      <c r="U302" s="14" t="n"/>
      <c r="X302" s="13" t="inlineStr"/>
      <c r="Y302" s="12" t="inlineStr">
        <is>
          <t>https://www.destinationtoronto.com/restaurants/michelin/</t>
        </is>
      </c>
    </row>
    <row r="303">
      <c r="A303" s="10" t="n">
        <v>302</v>
      </c>
      <c r="B303" s="10" t="n">
        <v>2</v>
      </c>
      <c r="C303" s="11" t="inlineStr">
        <is>
          <t>The Stop</t>
        </is>
      </c>
      <c r="D303" s="10" t="inlineStr">
        <is>
          <t>Roncesvalles</t>
        </is>
      </c>
      <c r="E303" s="10" t="inlineStr">
        <is>
          <t>Restaurant</t>
        </is>
      </c>
      <c r="F303" s="10" t="inlineStr">
        <is>
          <t>Eastern European</t>
        </is>
      </c>
      <c r="G303" s="10" t="inlineStr">
        <is>
          <t>397 Roncesvalles Avenue</t>
        </is>
      </c>
      <c r="H303" s="12" t="inlineStr">
        <is>
          <t>https://restaurantstop.ca/</t>
        </is>
      </c>
      <c r="I303" s="12" t="inlineStr">
        <is>
          <t>@carbsnproteins</t>
        </is>
      </c>
      <c r="J303" s="10" t="inlineStr">
        <is>
          <t>416-588-8848</t>
        </is>
      </c>
      <c r="K303" s="10" t="inlineStr"/>
      <c r="L303" s="13" t="inlineStr">
        <is>
          <t>Dinner spot with posted current hours, good for a night out.</t>
        </is>
      </c>
      <c r="M303" s="10" t="inlineStr">
        <is>
          <t>Not checked</t>
        </is>
      </c>
      <c r="N303" s="10" t="inlineStr">
        <is>
          <t>Target</t>
        </is>
      </c>
      <c r="S303" s="14" t="n"/>
      <c r="U303" s="14" t="n"/>
      <c r="X303" s="13" t="inlineStr">
        <is>
          <t>Check it's open before visiting: weak online evidence.</t>
        </is>
      </c>
      <c r="Y303" s="12" t="inlineStr">
        <is>
          <t>https://restaurantstop.ca/</t>
        </is>
      </c>
    </row>
    <row r="304">
      <c r="A304" s="10" t="n">
        <v>303</v>
      </c>
      <c r="B304" s="10" t="n">
        <v>2</v>
      </c>
      <c r="C304" s="11" t="inlineStr">
        <is>
          <t>Cafe Russo</t>
        </is>
      </c>
      <c r="D304" s="10" t="inlineStr">
        <is>
          <t>Roncesvalles</t>
        </is>
      </c>
      <c r="E304" s="10" t="inlineStr">
        <is>
          <t>Café</t>
        </is>
      </c>
      <c r="F304" s="10" t="inlineStr">
        <is>
          <t>Café</t>
        </is>
      </c>
      <c r="G304" s="10" t="inlineStr">
        <is>
          <t>139 Roncesvalles Ave.</t>
        </is>
      </c>
      <c r="H304" s="10" t="inlineStr"/>
      <c r="I304" s="12" t="inlineStr">
        <is>
          <t>@caferusso_</t>
        </is>
      </c>
      <c r="J304" s="10" t="inlineStr">
        <is>
          <t>416.531.5695</t>
        </is>
      </c>
      <c r="K304" s="10" t="inlineStr"/>
      <c r="L304" s="13" t="inlineStr">
        <is>
          <t>Café listed in 2026, a simple coffee and pastry offer.</t>
        </is>
      </c>
      <c r="M304" s="10" t="inlineStr">
        <is>
          <t>Not checked</t>
        </is>
      </c>
      <c r="N304" s="10" t="inlineStr">
        <is>
          <t>Target</t>
        </is>
      </c>
      <c r="S304" s="14" t="n"/>
      <c r="U304" s="14" t="n"/>
      <c r="X304" s="13" t="inlineStr"/>
      <c r="Y304" s="12" t="inlineStr">
        <is>
          <t>https://www.blogto.com/cafes/cafe-russo-toronto/</t>
        </is>
      </c>
    </row>
    <row r="305">
      <c r="A305" s="10" t="n">
        <v>304</v>
      </c>
      <c r="B305" s="10" t="n">
        <v>2</v>
      </c>
      <c r="C305" s="11" t="inlineStr">
        <is>
          <t>Cherry Bomb</t>
        </is>
      </c>
      <c r="D305" s="10" t="inlineStr">
        <is>
          <t>Roncesvalles</t>
        </is>
      </c>
      <c r="E305" s="10" t="inlineStr">
        <is>
          <t>Café</t>
        </is>
      </c>
      <c r="F305" s="10" t="inlineStr">
        <is>
          <t>Coffee</t>
        </is>
      </c>
      <c r="G305" s="10" t="inlineStr">
        <is>
          <t>79 Roncesvalles Avenue</t>
        </is>
      </c>
      <c r="H305" s="12" t="inlineStr">
        <is>
          <t>https://www.cherrybombcoffee.ca/</t>
        </is>
      </c>
      <c r="I305" s="10" t="inlineStr"/>
      <c r="J305" s="10" t="inlineStr">
        <is>
          <t>416.516.8212</t>
        </is>
      </c>
      <c r="K305" s="10" t="inlineStr"/>
      <c r="L305" s="13" t="inlineStr">
        <is>
          <t>Neighbourhood coffee staple, a simple coffee-for-two offer.</t>
        </is>
      </c>
      <c r="M305" s="10" t="inlineStr">
        <is>
          <t>Not checked</t>
        </is>
      </c>
      <c r="N305" s="10" t="inlineStr">
        <is>
          <t>Target</t>
        </is>
      </c>
      <c r="S305" s="14" t="n"/>
      <c r="U305" s="14" t="n"/>
      <c r="X305" s="13" t="inlineStr">
        <is>
          <t>Check it's open before visiting: weak online evidence.</t>
        </is>
      </c>
      <c r="Y305" s="12" t="inlineStr">
        <is>
          <t>https://www.cherrybombcoffee.ca/</t>
        </is>
      </c>
    </row>
    <row r="306">
      <c r="A306" s="10" t="n">
        <v>305</v>
      </c>
      <c r="B306" s="10" t="n">
        <v>2</v>
      </c>
      <c r="C306" s="11" t="inlineStr">
        <is>
          <t>Reunion Coffee Roasters</t>
        </is>
      </c>
      <c r="D306" s="10" t="inlineStr">
        <is>
          <t>Roncesvalles</t>
        </is>
      </c>
      <c r="E306" s="10" t="inlineStr">
        <is>
          <t>Café</t>
        </is>
      </c>
      <c r="F306" s="10" t="inlineStr">
        <is>
          <t>Coffee</t>
        </is>
      </c>
      <c r="G306" s="10" t="inlineStr">
        <is>
          <t>385 Roncesvalles Ave.</t>
        </is>
      </c>
      <c r="H306" s="12" t="inlineStr">
        <is>
          <t>https://reunioncoffeeroasters.com/pages/cafe</t>
        </is>
      </c>
      <c r="I306" s="12" t="inlineStr">
        <is>
          <t>@reunioncoffee</t>
        </is>
      </c>
      <c r="J306" s="10" t="inlineStr">
        <is>
          <t>416.551.3431</t>
        </is>
      </c>
      <c r="K306" s="10" t="inlineStr"/>
      <c r="L306" s="13" t="inlineStr">
        <is>
          <t>Local roaster café, a natural two-for-one coffee stop.</t>
        </is>
      </c>
      <c r="M306" s="10" t="inlineStr">
        <is>
          <t>Not checked</t>
        </is>
      </c>
      <c r="N306" s="10" t="inlineStr">
        <is>
          <t>Target</t>
        </is>
      </c>
      <c r="S306" s="14" t="n"/>
      <c r="U306" s="14" t="n"/>
      <c r="X306" s="13" t="inlineStr"/>
      <c r="Y306" s="12" t="inlineStr">
        <is>
          <t>https://reunioncoffeeroasters.com/pages/cafe</t>
        </is>
      </c>
    </row>
    <row r="307">
      <c r="A307" s="10" t="n">
        <v>306</v>
      </c>
      <c r="B307" s="10" t="n">
        <v>2</v>
      </c>
      <c r="C307" s="11" t="inlineStr">
        <is>
          <t>Fantail</t>
        </is>
      </c>
      <c r="D307" s="10" t="inlineStr">
        <is>
          <t>Roncesvalles</t>
        </is>
      </c>
      <c r="E307" s="10" t="inlineStr">
        <is>
          <t>Bakery</t>
        </is>
      </c>
      <c r="F307" s="10" t="inlineStr">
        <is>
          <t>Bakery café</t>
        </is>
      </c>
      <c r="G307" s="10" t="inlineStr">
        <is>
          <t>333 Roncesvalles Ave.</t>
        </is>
      </c>
      <c r="H307" s="12" t="inlineStr">
        <is>
          <t>https://fantail.biz/</t>
        </is>
      </c>
      <c r="I307" s="12" t="inlineStr">
        <is>
          <t>@fantail_bakery_cafe</t>
        </is>
      </c>
      <c r="J307" s="10" t="inlineStr">
        <is>
          <t>647-352-8245</t>
        </is>
      </c>
      <c r="K307" s="10" t="inlineStr"/>
      <c r="L307" s="13" t="inlineStr">
        <is>
          <t>Bakery café with current hours, good for a weekday treat.</t>
        </is>
      </c>
      <c r="M307" s="10" t="inlineStr">
        <is>
          <t>Not checked</t>
        </is>
      </c>
      <c r="N307" s="10" t="inlineStr">
        <is>
          <t>Target</t>
        </is>
      </c>
      <c r="S307" s="14" t="n"/>
      <c r="U307" s="14" t="n"/>
      <c r="X307" s="13" t="inlineStr">
        <is>
          <t>Check it's open before visiting: weak online evidence.</t>
        </is>
      </c>
      <c r="Y307" s="12" t="inlineStr">
        <is>
          <t>https://fantail.biz/</t>
        </is>
      </c>
    </row>
    <row r="308">
      <c r="A308" s="10" t="n">
        <v>307</v>
      </c>
      <c r="B308" s="10" t="n">
        <v>2</v>
      </c>
      <c r="C308" s="11" t="inlineStr">
        <is>
          <t>Mabel's Bakery</t>
        </is>
      </c>
      <c r="D308" s="10" t="inlineStr">
        <is>
          <t>Roncesvalles</t>
        </is>
      </c>
      <c r="E308" s="10" t="inlineStr">
        <is>
          <t>Bakery</t>
        </is>
      </c>
      <c r="F308" s="10" t="inlineStr">
        <is>
          <t>Bakery</t>
        </is>
      </c>
      <c r="G308" s="10" t="inlineStr">
        <is>
          <t>323 Roncesvalles Ave</t>
        </is>
      </c>
      <c r="H308" s="12" t="inlineStr">
        <is>
          <t>https://mabelsbakery.ca/</t>
        </is>
      </c>
      <c r="I308" s="12" t="inlineStr">
        <is>
          <t>@mabelsbakery</t>
        </is>
      </c>
      <c r="J308" s="10" t="inlineStr">
        <is>
          <t>416.534.2333</t>
        </is>
      </c>
      <c r="K308" s="10" t="inlineStr"/>
      <c r="L308" s="13" t="inlineStr">
        <is>
          <t>Well-loved neighbourhood bakery with a steady crowd.</t>
        </is>
      </c>
      <c r="M308" s="10" t="inlineStr">
        <is>
          <t>Not checked</t>
        </is>
      </c>
      <c r="N308" s="10" t="inlineStr">
        <is>
          <t>Target</t>
        </is>
      </c>
      <c r="S308" s="14" t="n"/>
      <c r="U308" s="14" t="n"/>
      <c r="X308" s="13" t="inlineStr">
        <is>
          <t>Check it's open before visiting: weak online evidence.</t>
        </is>
      </c>
      <c r="Y308" s="12" t="inlineStr">
        <is>
          <t>https://mabelsbakery.ca/</t>
        </is>
      </c>
    </row>
    <row r="309">
      <c r="A309" s="10" t="n">
        <v>308</v>
      </c>
      <c r="B309" s="10" t="n">
        <v>2</v>
      </c>
      <c r="C309" s="11" t="inlineStr">
        <is>
          <t>Azura</t>
        </is>
      </c>
      <c r="D309" s="10" t="inlineStr">
        <is>
          <t>Danforth</t>
        </is>
      </c>
      <c r="E309" s="10" t="inlineStr">
        <is>
          <t>Restaurant</t>
        </is>
      </c>
      <c r="F309" s="10" t="inlineStr">
        <is>
          <t>Mediterranean</t>
        </is>
      </c>
      <c r="G309" s="10" t="inlineStr">
        <is>
          <t>162 Danforth Ave.</t>
        </is>
      </c>
      <c r="H309" s="12" t="inlineStr">
        <is>
          <t>https://www.restaurantazura.com/</t>
        </is>
      </c>
      <c r="I309" s="10" t="inlineStr"/>
      <c r="J309" s="10" t="inlineStr">
        <is>
          <t>416.792.8088</t>
        </is>
      </c>
      <c r="K309" s="10" t="inlineStr">
        <is>
          <t>$$$$</t>
        </is>
      </c>
      <c r="L309" s="13" t="inlineStr">
        <is>
          <t>Michelin-listed tasting menu, the premium anchor for the Danforth.</t>
        </is>
      </c>
      <c r="M309" s="10" t="inlineStr">
        <is>
          <t>Not checked</t>
        </is>
      </c>
      <c r="N309" s="10" t="inlineStr">
        <is>
          <t>Target</t>
        </is>
      </c>
      <c r="S309" s="14" t="n"/>
      <c r="U309" s="14" t="n"/>
      <c r="X309" s="13" t="inlineStr"/>
      <c r="Y309" s="12" t="inlineStr">
        <is>
          <t>https://guide.michelin.com/us/en/ontario/toronto/restaurant/azura</t>
        </is>
      </c>
    </row>
    <row r="310">
      <c r="A310" s="10" t="n">
        <v>309</v>
      </c>
      <c r="B310" s="10" t="n">
        <v>2</v>
      </c>
      <c r="C310" s="11" t="inlineStr">
        <is>
          <t>Horio Taverna</t>
        </is>
      </c>
      <c r="D310" s="10" t="inlineStr">
        <is>
          <t>Danforth</t>
        </is>
      </c>
      <c r="E310" s="10" t="inlineStr">
        <is>
          <t>Restaurant</t>
        </is>
      </c>
      <c r="F310" s="10" t="inlineStr">
        <is>
          <t>Greek</t>
        </is>
      </c>
      <c r="G310" s="10" t="inlineStr">
        <is>
          <t>516 Danforth Ave</t>
        </is>
      </c>
      <c r="H310" s="12" t="inlineStr">
        <is>
          <t>https://horiotaverna.com/</t>
        </is>
      </c>
      <c r="I310" s="10" t="inlineStr"/>
      <c r="J310" s="10" t="inlineStr">
        <is>
          <t>416.461.9000</t>
        </is>
      </c>
      <c r="K310" s="10" t="inlineStr"/>
      <c r="L310" s="13" t="inlineStr">
        <is>
          <t>Greek taverna reviewed in 2026, good for sharing plates.</t>
        </is>
      </c>
      <c r="M310" s="10" t="inlineStr">
        <is>
          <t>Not checked</t>
        </is>
      </c>
      <c r="N310" s="10" t="inlineStr">
        <is>
          <t>Target</t>
        </is>
      </c>
      <c r="S310" s="14" t="n"/>
      <c r="U310" s="14" t="n"/>
      <c r="X310" s="13" t="inlineStr"/>
      <c r="Y310" s="12" t="inlineStr">
        <is>
          <t>https://www.blogto.com/restaurants/horio-taverna/</t>
        </is>
      </c>
    </row>
    <row r="311">
      <c r="A311" s="10" t="n">
        <v>310</v>
      </c>
      <c r="B311" s="10" t="n">
        <v>2</v>
      </c>
      <c r="C311" s="11" t="inlineStr">
        <is>
          <t>Mezes</t>
        </is>
      </c>
      <c r="D311" s="10" t="inlineStr">
        <is>
          <t>Danforth</t>
        </is>
      </c>
      <c r="E311" s="10" t="inlineStr">
        <is>
          <t>Restaurant</t>
        </is>
      </c>
      <c r="F311" s="10" t="inlineStr">
        <is>
          <t>Greek</t>
        </is>
      </c>
      <c r="G311" s="10" t="inlineStr">
        <is>
          <t>456 Danforth Avenue</t>
        </is>
      </c>
      <c r="H311" s="10" t="inlineStr"/>
      <c r="I311" s="10" t="inlineStr"/>
      <c r="J311" s="10" t="inlineStr">
        <is>
          <t>416.778.5150</t>
        </is>
      </c>
      <c r="K311" s="10" t="inlineStr"/>
      <c r="L311" s="13" t="inlineStr">
        <is>
          <t>Family-run Greek sharing plates, a favourite on the strip.</t>
        </is>
      </c>
      <c r="M311" s="10" t="inlineStr">
        <is>
          <t>Not checked</t>
        </is>
      </c>
      <c r="N311" s="10" t="inlineStr">
        <is>
          <t>Target</t>
        </is>
      </c>
      <c r="S311" s="14" t="n"/>
      <c r="U311" s="14" t="n"/>
      <c r="X311" s="13" t="inlineStr"/>
      <c r="Y311" s="12" t="inlineStr">
        <is>
          <t>https://www.hungryonion.org/t/greek-balkan-and-or-turkish-restaurants-bars-coffee-shops-groceries-and-bakeries-in-toronto-and-the-greater-toronto-area-danforth-scarborough-ossington/29050/175</t>
        </is>
      </c>
    </row>
    <row r="312">
      <c r="A312" s="10" t="n">
        <v>311</v>
      </c>
      <c r="B312" s="10" t="n">
        <v>2</v>
      </c>
      <c r="C312" s="11" t="inlineStr">
        <is>
          <t>Sambal</t>
        </is>
      </c>
      <c r="D312" s="10" t="inlineStr">
        <is>
          <t>Danforth</t>
        </is>
      </c>
      <c r="E312" s="10" t="inlineStr">
        <is>
          <t>Restaurant</t>
        </is>
      </c>
      <c r="F312" s="10" t="inlineStr">
        <is>
          <t>Asian</t>
        </is>
      </c>
      <c r="G312" s="10" t="inlineStr">
        <is>
          <t>463 Danforth Ave</t>
        </is>
      </c>
      <c r="H312" s="10" t="inlineStr"/>
      <c r="I312" s="10" t="inlineStr"/>
      <c r="J312" s="10" t="inlineStr">
        <is>
          <t>416.523.3252</t>
        </is>
      </c>
      <c r="K312" s="10" t="inlineStr"/>
      <c r="L312" s="13" t="inlineStr">
        <is>
          <t>Asian restaurant reviewed in 2025, adds variety to a Greek strip.</t>
        </is>
      </c>
      <c r="M312" s="10" t="inlineStr">
        <is>
          <t>Not checked</t>
        </is>
      </c>
      <c r="N312" s="10" t="inlineStr">
        <is>
          <t>Target</t>
        </is>
      </c>
      <c r="S312" s="14" t="n"/>
      <c r="U312" s="14" t="n"/>
      <c r="X312" s="13" t="inlineStr"/>
      <c r="Y312" s="12" t="inlineStr">
        <is>
          <t>https://www.blogto.com/restaurants/sambal-toronto/</t>
        </is>
      </c>
    </row>
    <row r="313">
      <c r="A313" s="10" t="n">
        <v>312</v>
      </c>
      <c r="B313" s="10" t="n">
        <v>2</v>
      </c>
      <c r="C313" s="11" t="inlineStr">
        <is>
          <t>Sarang Kitchen</t>
        </is>
      </c>
      <c r="D313" s="10" t="inlineStr">
        <is>
          <t>Danforth</t>
        </is>
      </c>
      <c r="E313" s="10" t="inlineStr">
        <is>
          <t>Restaurant</t>
        </is>
      </c>
      <c r="F313" s="10" t="inlineStr">
        <is>
          <t>Korean</t>
        </is>
      </c>
      <c r="G313" s="10" t="inlineStr">
        <is>
          <t>774 Danforth Ave</t>
        </is>
      </c>
      <c r="H313" s="12" t="inlineStr">
        <is>
          <t>https://sarangkitchen.ca/</t>
        </is>
      </c>
      <c r="I313" s="10" t="inlineStr"/>
      <c r="J313" s="10" t="inlineStr">
        <is>
          <t>416.465.8388</t>
        </is>
      </c>
      <c r="K313" s="10" t="inlineStr"/>
      <c r="L313" s="13" t="inlineStr">
        <is>
          <t>Korean spot listed in 2025, good for casual dinners.</t>
        </is>
      </c>
      <c r="M313" s="10" t="inlineStr">
        <is>
          <t>Not checked</t>
        </is>
      </c>
      <c r="N313" s="10" t="inlineStr">
        <is>
          <t>Target</t>
        </is>
      </c>
      <c r="S313" s="14" t="n"/>
      <c r="U313" s="14" t="n"/>
      <c r="X313" s="13" t="inlineStr"/>
      <c r="Y313" s="12" t="inlineStr">
        <is>
          <t>https://www.blogto.com/restaurants/sarang-kitchen-danfortht-toronto/</t>
        </is>
      </c>
    </row>
    <row r="314">
      <c r="A314" s="10" t="n">
        <v>313</v>
      </c>
      <c r="B314" s="10" t="n">
        <v>2</v>
      </c>
      <c r="C314" s="11" t="inlineStr">
        <is>
          <t>Soula's</t>
        </is>
      </c>
      <c r="D314" s="10" t="inlineStr">
        <is>
          <t>Danforth</t>
        </is>
      </c>
      <c r="E314" s="10" t="inlineStr">
        <is>
          <t>Restaurant</t>
        </is>
      </c>
      <c r="F314" s="10" t="inlineStr">
        <is>
          <t>Greek</t>
        </is>
      </c>
      <c r="G314" s="10" t="inlineStr">
        <is>
          <t>500A Danforth Avenue</t>
        </is>
      </c>
      <c r="H314" s="12" t="inlineStr">
        <is>
          <t>https://soulas.ca/</t>
        </is>
      </c>
      <c r="I314" s="12" t="inlineStr">
        <is>
          <t>@soulasmoderngreekcuisine</t>
        </is>
      </c>
      <c r="J314" s="10" t="inlineStr">
        <is>
          <t>(416) 778-0500</t>
        </is>
      </c>
      <c r="K314" s="10" t="inlineStr"/>
      <c r="L314" s="13" t="inlineStr">
        <is>
          <t>Long-running Greek restaurant with an active 2025 blog and patio.</t>
        </is>
      </c>
      <c r="M314" s="10" t="inlineStr">
        <is>
          <t>Not checked</t>
        </is>
      </c>
      <c r="N314" s="10" t="inlineStr">
        <is>
          <t>Target</t>
        </is>
      </c>
      <c r="S314" s="14" t="n"/>
      <c r="U314" s="14" t="n"/>
      <c r="X314" s="13" t="inlineStr"/>
      <c r="Y314" s="12" t="inlineStr">
        <is>
          <t>https://soulas.ca/</t>
        </is>
      </c>
    </row>
    <row r="315">
      <c r="A315" s="10" t="n">
        <v>314</v>
      </c>
      <c r="B315" s="10" t="n">
        <v>2</v>
      </c>
      <c r="C315" s="11" t="inlineStr">
        <is>
          <t>SugarKane</t>
        </is>
      </c>
      <c r="D315" s="10" t="inlineStr">
        <is>
          <t>Danforth</t>
        </is>
      </c>
      <c r="E315" s="10" t="inlineStr">
        <is>
          <t>Restaurant</t>
        </is>
      </c>
      <c r="F315" s="10" t="inlineStr">
        <is>
          <t>Caribbean and Cajun</t>
        </is>
      </c>
      <c r="G315" s="10" t="inlineStr">
        <is>
          <t>699 Danforth Avenue</t>
        </is>
      </c>
      <c r="H315" s="12" t="inlineStr">
        <is>
          <t>https://www.sugarkanerestaurant.ca/</t>
        </is>
      </c>
      <c r="I315" s="12" t="inlineStr">
        <is>
          <t>@sugarkanerestaurant</t>
        </is>
      </c>
      <c r="J315" s="10" t="inlineStr">
        <is>
          <t>416-469-0808</t>
        </is>
      </c>
      <c r="K315" s="10" t="inlineStr"/>
      <c r="L315" s="13" t="inlineStr">
        <is>
          <t>Sister-owned Caribbean-Cajun spot that took part in 2025 restaurant week.</t>
        </is>
      </c>
      <c r="M315" s="10" t="inlineStr">
        <is>
          <t>Not checked</t>
        </is>
      </c>
      <c r="N315" s="10" t="inlineStr">
        <is>
          <t>Target</t>
        </is>
      </c>
      <c r="S315" s="14" t="n"/>
      <c r="U315" s="14" t="n"/>
      <c r="X315" s="13" t="inlineStr"/>
      <c r="Y315" s="12" t="inlineStr">
        <is>
          <t>https://byblacks.com/restaurantweek/brw-menus/brw-menus-on/item/3586-sugarkane-caribbean-cajun-cuisine-toronto-on</t>
        </is>
      </c>
    </row>
    <row r="316">
      <c r="A316" s="10" t="n">
        <v>315</v>
      </c>
      <c r="B316" s="10" t="n">
        <v>2</v>
      </c>
      <c r="C316" s="11" t="inlineStr">
        <is>
          <t>Trattoria Di Parma</t>
        </is>
      </c>
      <c r="D316" s="10" t="inlineStr">
        <is>
          <t>Danforth</t>
        </is>
      </c>
      <c r="E316" s="10" t="inlineStr">
        <is>
          <t>Restaurant</t>
        </is>
      </c>
      <c r="F316" s="10" t="inlineStr">
        <is>
          <t>Italian</t>
        </is>
      </c>
      <c r="G316" s="10" t="inlineStr">
        <is>
          <t>785 Danforth Ave.</t>
        </is>
      </c>
      <c r="H316" s="12" t="inlineStr">
        <is>
          <t>https://www.diparma.ca/</t>
        </is>
      </c>
      <c r="I316" s="10" t="inlineStr"/>
      <c r="J316" s="10" t="inlineStr">
        <is>
          <t>416.466.1112</t>
        </is>
      </c>
      <c r="K316" s="10" t="inlineStr"/>
      <c r="L316" s="13" t="inlineStr">
        <is>
          <t>Family-run trattoria with strong 2026 reviews, a good second-main offer.</t>
        </is>
      </c>
      <c r="M316" s="10" t="inlineStr">
        <is>
          <t>Not checked</t>
        </is>
      </c>
      <c r="N316" s="10" t="inlineStr">
        <is>
          <t>Target</t>
        </is>
      </c>
      <c r="S316" s="14" t="n"/>
      <c r="U316" s="14" t="n"/>
      <c r="X316" s="13" t="inlineStr"/>
      <c r="Y316" s="12" t="inlineStr">
        <is>
          <t>https://www.opentable.ca/restaurant/profile/1327975</t>
        </is>
      </c>
    </row>
    <row r="317">
      <c r="A317" s="10" t="n">
        <v>316</v>
      </c>
      <c r="B317" s="10" t="n">
        <v>2</v>
      </c>
      <c r="C317" s="11" t="inlineStr">
        <is>
          <t>Cafe Vincenzo</t>
        </is>
      </c>
      <c r="D317" s="10" t="inlineStr">
        <is>
          <t>Danforth</t>
        </is>
      </c>
      <c r="E317" s="10" t="inlineStr">
        <is>
          <t>Brunch</t>
        </is>
      </c>
      <c r="F317" s="10" t="inlineStr">
        <is>
          <t>Brunch</t>
        </is>
      </c>
      <c r="G317" s="10" t="inlineStr">
        <is>
          <t>679 Danforth Ave</t>
        </is>
      </c>
      <c r="H317" s="10" t="inlineStr"/>
      <c r="I317" s="10" t="inlineStr"/>
      <c r="J317" s="10" t="inlineStr">
        <is>
          <t>416.406.9777</t>
        </is>
      </c>
      <c r="K317" s="10" t="inlineStr"/>
      <c r="L317" s="13" t="inlineStr">
        <is>
          <t>Brunch spot reviewed in 2025, good for weekend offers.</t>
        </is>
      </c>
      <c r="M317" s="10" t="inlineStr">
        <is>
          <t>Not checked</t>
        </is>
      </c>
      <c r="N317" s="10" t="inlineStr">
        <is>
          <t>Target</t>
        </is>
      </c>
      <c r="S317" s="14" t="n"/>
      <c r="U317" s="14" t="n"/>
      <c r="X317" s="13" t="inlineStr"/>
      <c r="Y317" s="12" t="inlineStr">
        <is>
          <t>https://www.blogto.com/restaurants/cafe-vincenzo-toronto/</t>
        </is>
      </c>
    </row>
    <row r="318">
      <c r="A318" s="10" t="n">
        <v>317</v>
      </c>
      <c r="B318" s="10" t="n">
        <v>2</v>
      </c>
      <c r="C318" s="11" t="inlineStr">
        <is>
          <t>Fluff Me Up</t>
        </is>
      </c>
      <c r="D318" s="10" t="inlineStr">
        <is>
          <t>Danforth</t>
        </is>
      </c>
      <c r="E318" s="10" t="inlineStr">
        <is>
          <t>Café</t>
        </is>
      </c>
      <c r="F318" s="10" t="inlineStr">
        <is>
          <t>Café</t>
        </is>
      </c>
      <c r="G318" s="10" t="inlineStr">
        <is>
          <t>800 Danforth Ave</t>
        </is>
      </c>
      <c r="H318" s="12" t="inlineStr">
        <is>
          <t>https://fluffmeup.com/</t>
        </is>
      </c>
      <c r="I318" s="12" t="inlineStr">
        <is>
          <t>@fluffme_up</t>
        </is>
      </c>
      <c r="J318" s="10" t="inlineStr">
        <is>
          <t>(416) 465-1188</t>
        </is>
      </c>
      <c r="K318" s="10" t="inlineStr"/>
      <c r="L318" s="13" t="inlineStr">
        <is>
          <t>Café reviewed in 2026, a fun two-for-one treat stop.</t>
        </is>
      </c>
      <c r="M318" s="10" t="inlineStr">
        <is>
          <t>Not checked</t>
        </is>
      </c>
      <c r="N318" s="10" t="inlineStr">
        <is>
          <t>Target</t>
        </is>
      </c>
      <c r="S318" s="14" t="n"/>
      <c r="U318" s="14" t="n"/>
      <c r="X318" s="13" t="inlineStr"/>
      <c r="Y318" s="12" t="inlineStr">
        <is>
          <t>https://www.blogto.com/cafes/fluff-me-toronto/</t>
        </is>
      </c>
    </row>
    <row r="319">
      <c r="A319" s="10" t="n">
        <v>318</v>
      </c>
      <c r="B319" s="10" t="n">
        <v>2</v>
      </c>
      <c r="C319" s="11" t="inlineStr">
        <is>
          <t>One Gram Coffee Bar</t>
        </is>
      </c>
      <c r="D319" s="10" t="inlineStr">
        <is>
          <t>Danforth</t>
        </is>
      </c>
      <c r="E319" s="10" t="inlineStr">
        <is>
          <t>Café</t>
        </is>
      </c>
      <c r="F319" s="10" t="inlineStr">
        <is>
          <t>Coffee</t>
        </is>
      </c>
      <c r="G319" s="10" t="inlineStr">
        <is>
          <t>466 Danforth Ave.</t>
        </is>
      </c>
      <c r="H319" s="12" t="inlineStr">
        <is>
          <t>https://onegramcoffeebar.com/</t>
        </is>
      </c>
      <c r="I319" s="12" t="inlineStr">
        <is>
          <t>@onegramcoffeebar</t>
        </is>
      </c>
      <c r="J319" s="10" t="inlineStr">
        <is>
          <t>(437) 324-5005</t>
        </is>
      </c>
      <c r="K319" s="10" t="inlineStr"/>
      <c r="L319" s="13" t="inlineStr">
        <is>
          <t>Coffee bar listed in 2026, a simple coffee-for-two offer.</t>
        </is>
      </c>
      <c r="M319" s="10" t="inlineStr">
        <is>
          <t>Not checked</t>
        </is>
      </c>
      <c r="N319" s="10" t="inlineStr">
        <is>
          <t>Target</t>
        </is>
      </c>
      <c r="S319" s="14" t="n"/>
      <c r="U319" s="14" t="n"/>
      <c r="X319" s="13" t="inlineStr"/>
      <c r="Y319" s="12" t="inlineStr">
        <is>
          <t>https://www.blogto.com/cafes/one-gram-coffee-bar-toronto/</t>
        </is>
      </c>
    </row>
    <row r="320">
      <c r="A320" s="10" t="n">
        <v>319</v>
      </c>
      <c r="B320" s="10" t="n">
        <v>2</v>
      </c>
      <c r="C320" s="11" t="inlineStr">
        <is>
          <t>Athens Pastries</t>
        </is>
      </c>
      <c r="D320" s="10" t="inlineStr">
        <is>
          <t>Danforth</t>
        </is>
      </c>
      <c r="E320" s="10" t="inlineStr">
        <is>
          <t>Bakery</t>
        </is>
      </c>
      <c r="F320" s="10" t="inlineStr">
        <is>
          <t>Greek bakery</t>
        </is>
      </c>
      <c r="G320" s="10" t="inlineStr">
        <is>
          <t>509 Danforth Ave</t>
        </is>
      </c>
      <c r="H320" s="10" t="inlineStr"/>
      <c r="I320" s="10" t="inlineStr"/>
      <c r="J320" s="10" t="inlineStr">
        <is>
          <t>416-463-5144</t>
        </is>
      </c>
      <c r="K320" s="10" t="inlineStr"/>
      <c r="L320" s="13" t="inlineStr">
        <is>
          <t>Greek bakery known for spanakopita, an easy pastry-for-two offer.</t>
        </is>
      </c>
      <c r="M320" s="10" t="inlineStr">
        <is>
          <t>Not checked</t>
        </is>
      </c>
      <c r="N320" s="10" t="inlineStr">
        <is>
          <t>Target</t>
        </is>
      </c>
      <c r="S320" s="14" t="n"/>
      <c r="U320" s="14" t="n"/>
      <c r="X320" s="13" t="inlineStr">
        <is>
          <t>Check it's open before visiting: weak online evidence.</t>
        </is>
      </c>
      <c r="Y320" s="12" t="inlineStr">
        <is>
          <t>https://urbantoronto.ca/forum/goto/post?id=1625205</t>
        </is>
      </c>
    </row>
    <row r="321">
      <c r="A321" s="10" t="n">
        <v>320</v>
      </c>
      <c r="B321" s="10" t="n">
        <v>2</v>
      </c>
      <c r="C321" s="11" t="inlineStr">
        <is>
          <t>Aloette Liberty Village</t>
        </is>
      </c>
      <c r="D321" s="10" t="inlineStr">
        <is>
          <t>Liberty Village</t>
        </is>
      </c>
      <c r="E321" s="10" t="inlineStr">
        <is>
          <t>Restaurant</t>
        </is>
      </c>
      <c r="F321" s="10" t="inlineStr">
        <is>
          <t>Burgers and bistro</t>
        </is>
      </c>
      <c r="G321" s="10" t="inlineStr">
        <is>
          <t>171 East Liberty St</t>
        </is>
      </c>
      <c r="H321" s="10" t="inlineStr"/>
      <c r="I321" s="10" t="inlineStr"/>
      <c r="J321" s="10" t="inlineStr"/>
      <c r="K321" s="10" t="inlineStr"/>
      <c r="L321" s="13" t="inlineStr">
        <is>
          <t>Casual sister of a Michelin-listed bistro, a known name for members.</t>
        </is>
      </c>
      <c r="M321" s="10" t="inlineStr">
        <is>
          <t>Not checked</t>
        </is>
      </c>
      <c r="N321" s="10" t="inlineStr">
        <is>
          <t>Target</t>
        </is>
      </c>
      <c r="S321" s="14" t="n"/>
      <c r="U321" s="14" t="n"/>
      <c r="X321" s="13" t="inlineStr"/>
      <c r="Y321" s="12" t="inlineStr">
        <is>
          <t>https://www.blogto.com/eat_drink/2026/03/cheap-eats-liberty-village-toronto/</t>
        </is>
      </c>
    </row>
    <row r="322">
      <c r="A322" s="10" t="n">
        <v>321</v>
      </c>
      <c r="B322" s="10" t="n">
        <v>2</v>
      </c>
      <c r="C322" s="11" t="inlineStr">
        <is>
          <t>Mozy's Charcoal</t>
        </is>
      </c>
      <c r="D322" s="10" t="inlineStr">
        <is>
          <t>Liberty Village</t>
        </is>
      </c>
      <c r="E322" s="10" t="inlineStr">
        <is>
          <t>Restaurant</t>
        </is>
      </c>
      <c r="F322" s="10" t="inlineStr">
        <is>
          <t>Charcoal chicken</t>
        </is>
      </c>
      <c r="G322" s="10" t="inlineStr">
        <is>
          <t>114 Atlantic Ave.</t>
        </is>
      </c>
      <c r="H322" s="10" t="inlineStr"/>
      <c r="I322" s="12" t="inlineStr">
        <is>
          <t>@mozyscharcoal</t>
        </is>
      </c>
      <c r="J322" s="10" t="inlineStr"/>
      <c r="K322" s="10" t="inlineStr"/>
      <c r="L322" s="13" t="inlineStr">
        <is>
          <t>New chef-led chicken spot from an ex-Alo chef, opened 2026.</t>
        </is>
      </c>
      <c r="M322" s="10" t="inlineStr">
        <is>
          <t>Not checked</t>
        </is>
      </c>
      <c r="N322" s="10" t="inlineStr">
        <is>
          <t>Target</t>
        </is>
      </c>
      <c r="S322" s="14" t="n"/>
      <c r="U322" s="14" t="n"/>
      <c r="X322" s="13" t="inlineStr"/>
      <c r="Y322" s="12" t="inlineStr">
        <is>
          <t>https://www.blogto.com/restaurants/mozys-charcoal-toronto/</t>
        </is>
      </c>
    </row>
    <row r="323">
      <c r="A323" s="10" t="n">
        <v>322</v>
      </c>
      <c r="B323" s="10" t="n">
        <v>2</v>
      </c>
      <c r="C323" s="11" t="inlineStr">
        <is>
          <t>Nodo Liberty Village</t>
        </is>
      </c>
      <c r="D323" s="10" t="inlineStr">
        <is>
          <t>Liberty Village</t>
        </is>
      </c>
      <c r="E323" s="10" t="inlineStr">
        <is>
          <t>Restaurant</t>
        </is>
      </c>
      <c r="F323" s="10" t="inlineStr">
        <is>
          <t>Italian</t>
        </is>
      </c>
      <c r="G323" s="10" t="inlineStr">
        <is>
          <t>120 Lynn Williams St</t>
        </is>
      </c>
      <c r="H323" s="12" t="inlineStr">
        <is>
          <t>https://www.nodoliberty.ca/</t>
        </is>
      </c>
      <c r="I323" s="10" t="inlineStr"/>
      <c r="J323" s="10" t="inlineStr">
        <is>
          <t>647.368.8099</t>
        </is>
      </c>
      <c r="K323" s="10" t="inlineStr"/>
      <c r="L323" s="13" t="inlineStr">
        <is>
          <t>Pizza and pasta spot with a big patio, a good second-main offer.</t>
        </is>
      </c>
      <c r="M323" s="10" t="inlineStr">
        <is>
          <t>Not checked</t>
        </is>
      </c>
      <c r="N323" s="10" t="inlineStr">
        <is>
          <t>Target</t>
        </is>
      </c>
      <c r="S323" s="14" t="n"/>
      <c r="U323" s="14" t="n"/>
      <c r="X323" s="13" t="inlineStr">
        <is>
          <t>Check it's open before visiting: weak online evidence.</t>
        </is>
      </c>
      <c r="Y323" s="12" t="inlineStr">
        <is>
          <t>https://www.opentable.co.uk/restaurant/profile/1251421</t>
        </is>
      </c>
    </row>
    <row r="324">
      <c r="A324" s="10" t="n">
        <v>323</v>
      </c>
      <c r="B324" s="10" t="n">
        <v>2</v>
      </c>
      <c r="C324" s="11" t="inlineStr">
        <is>
          <t>Thai Barn Na</t>
        </is>
      </c>
      <c r="D324" s="10" t="inlineStr">
        <is>
          <t>Liberty Village</t>
        </is>
      </c>
      <c r="E324" s="10" t="inlineStr">
        <is>
          <t>Restaurant</t>
        </is>
      </c>
      <c r="F324" s="10" t="inlineStr">
        <is>
          <t>Thai</t>
        </is>
      </c>
      <c r="G324" s="10" t="inlineStr"/>
      <c r="H324" s="10" t="inlineStr"/>
      <c r="I324" s="10" t="inlineStr"/>
      <c r="J324" s="10" t="inlineStr"/>
      <c r="K324" s="10" t="inlineStr"/>
      <c r="L324" s="13" t="inlineStr">
        <is>
          <t>New Thai spot with dine-in, good for weeknight dinners.</t>
        </is>
      </c>
      <c r="M324" s="10" t="inlineStr">
        <is>
          <t>Not checked</t>
        </is>
      </c>
      <c r="N324" s="10" t="inlineStr">
        <is>
          <t>Target</t>
        </is>
      </c>
      <c r="S324" s="14" t="n"/>
      <c r="U324" s="14" t="n"/>
      <c r="X324" s="13" t="inlineStr"/>
      <c r="Y324" s="12" t="inlineStr">
        <is>
          <t>https://www.yourcitywithin.com/top-5-new-restaurants-in-liberty-village/</t>
        </is>
      </c>
    </row>
    <row r="325">
      <c r="A325" s="10" t="n">
        <v>324</v>
      </c>
      <c r="B325" s="10" t="n">
        <v>2</v>
      </c>
      <c r="C325" s="11" t="inlineStr">
        <is>
          <t>Thindi Cafe Liberty Village</t>
        </is>
      </c>
      <c r="D325" s="10" t="inlineStr">
        <is>
          <t>Liberty Village</t>
        </is>
      </c>
      <c r="E325" s="10" t="inlineStr">
        <is>
          <t>Restaurant</t>
        </is>
      </c>
      <c r="F325" s="10" t="inlineStr">
        <is>
          <t>Indian vegetarian</t>
        </is>
      </c>
      <c r="G325" s="10" t="inlineStr">
        <is>
          <t>153 E Liberty St.</t>
        </is>
      </c>
      <c r="H325" s="12" t="inlineStr">
        <is>
          <t>https://www.thindi.ca/</t>
        </is>
      </c>
      <c r="I325" s="10" t="inlineStr"/>
      <c r="J325" s="10" t="inlineStr">
        <is>
          <t>647.560.3189</t>
        </is>
      </c>
      <c r="K325" s="10" t="inlineStr"/>
      <c r="L325" s="13" t="inlineStr">
        <is>
          <t>Vegetarian Indian café, good for office lunches.</t>
        </is>
      </c>
      <c r="M325" s="10" t="inlineStr">
        <is>
          <t>Not checked</t>
        </is>
      </c>
      <c r="N325" s="10" t="inlineStr">
        <is>
          <t>Target</t>
        </is>
      </c>
      <c r="S325" s="14" t="n"/>
      <c r="U325" s="14" t="n"/>
      <c r="X325" s="13" t="inlineStr"/>
      <c r="Y325" s="12" t="inlineStr">
        <is>
          <t>https://www.blogto.com/eat_drink/2026/03/cheap-eats-liberty-village-toronto/</t>
        </is>
      </c>
    </row>
    <row r="326">
      <c r="A326" s="10" t="n">
        <v>325</v>
      </c>
      <c r="B326" s="10" t="n">
        <v>2</v>
      </c>
      <c r="C326" s="11" t="inlineStr">
        <is>
          <t>School</t>
        </is>
      </c>
      <c r="D326" s="10" t="inlineStr">
        <is>
          <t>Liberty Village</t>
        </is>
      </c>
      <c r="E326" s="10" t="inlineStr">
        <is>
          <t>Brunch</t>
        </is>
      </c>
      <c r="F326" s="10" t="inlineStr">
        <is>
          <t>Brunch</t>
        </is>
      </c>
      <c r="G326" s="10" t="inlineStr">
        <is>
          <t>70 Fraser Avenue</t>
        </is>
      </c>
      <c r="H326" s="12" t="inlineStr">
        <is>
          <t>https://www.schooltoronto.com/</t>
        </is>
      </c>
      <c r="I326" s="12" t="inlineStr">
        <is>
          <t>@schoolresto</t>
        </is>
      </c>
      <c r="J326" s="10" t="inlineStr">
        <is>
          <t>(416) 588 0005</t>
        </is>
      </c>
      <c r="K326" s="10" t="inlineStr"/>
      <c r="L326" s="13" t="inlineStr">
        <is>
          <t>Popular brunch spot with a current monthly feature, a strong weekend draw.</t>
        </is>
      </c>
      <c r="M326" s="10" t="inlineStr">
        <is>
          <t>Not checked</t>
        </is>
      </c>
      <c r="N326" s="10" t="inlineStr">
        <is>
          <t>Target</t>
        </is>
      </c>
      <c r="S326" s="14" t="n"/>
      <c r="U326" s="14" t="n"/>
      <c r="X326" s="13" t="inlineStr"/>
      <c r="Y326" s="12" t="inlineStr">
        <is>
          <t>https://www.schooltoronto.com/</t>
        </is>
      </c>
    </row>
    <row r="327">
      <c r="A327" s="10" t="n">
        <v>326</v>
      </c>
      <c r="B327" s="10" t="n">
        <v>2</v>
      </c>
      <c r="C327" s="11" t="inlineStr">
        <is>
          <t>Arvo Liberty Village</t>
        </is>
      </c>
      <c r="D327" s="10" t="inlineStr">
        <is>
          <t>Liberty Village</t>
        </is>
      </c>
      <c r="E327" s="10" t="inlineStr">
        <is>
          <t>Café</t>
        </is>
      </c>
      <c r="F327" s="10" t="inlineStr">
        <is>
          <t>Café</t>
        </is>
      </c>
      <c r="G327" s="10" t="inlineStr">
        <is>
          <t>80 Atlantic Ave</t>
        </is>
      </c>
      <c r="H327" s="12" t="inlineStr">
        <is>
          <t>https://arvocoffee.com/</t>
        </is>
      </c>
      <c r="I327" s="12" t="inlineStr">
        <is>
          <t>@arvocoffee</t>
        </is>
      </c>
      <c r="J327" s="10" t="inlineStr">
        <is>
          <t>416.531.6864</t>
        </is>
      </c>
      <c r="K327" s="10" t="inlineStr"/>
      <c r="L327" s="13" t="inlineStr">
        <is>
          <t>Stylish café near local offices, a weekday coffee-for-two offer.</t>
        </is>
      </c>
      <c r="M327" s="10" t="inlineStr">
        <is>
          <t>Not checked</t>
        </is>
      </c>
      <c r="N327" s="10" t="inlineStr">
        <is>
          <t>Target</t>
        </is>
      </c>
      <c r="S327" s="14" t="n"/>
      <c r="U327" s="14" t="n"/>
      <c r="X327" s="13" t="inlineStr"/>
      <c r="Y327" s="12" t="inlineStr">
        <is>
          <t>https://www.blogto.com/eat_drink/2026/03/cheap-eats-liberty-village-toronto/</t>
        </is>
      </c>
    </row>
    <row r="328">
      <c r="A328" s="10" t="n">
        <v>327</v>
      </c>
      <c r="B328" s="10" t="n">
        <v>2</v>
      </c>
      <c r="C328" s="11" t="inlineStr">
        <is>
          <t>Brodflour</t>
        </is>
      </c>
      <c r="D328" s="10" t="inlineStr">
        <is>
          <t>Liberty Village</t>
        </is>
      </c>
      <c r="E328" s="10" t="inlineStr">
        <is>
          <t>Bakery</t>
        </is>
      </c>
      <c r="F328" s="10" t="inlineStr">
        <is>
          <t>Bakery café</t>
        </is>
      </c>
      <c r="G328" s="10" t="inlineStr">
        <is>
          <t>8 Pardee Ave</t>
        </is>
      </c>
      <c r="H328" s="12" t="inlineStr">
        <is>
          <t>https://brodflour.com/</t>
        </is>
      </c>
      <c r="I328" s="12" t="inlineStr">
        <is>
          <t>@brodflour</t>
        </is>
      </c>
      <c r="J328" s="10" t="inlineStr">
        <is>
          <t>(416) 536-4848</t>
        </is>
      </c>
      <c r="K328" s="10" t="inlineStr"/>
      <c r="L328" s="13" t="inlineStr">
        <is>
          <t>Bakery that mills its own grain, good for a coffee and pastry offer.</t>
        </is>
      </c>
      <c r="M328" s="10" t="inlineStr">
        <is>
          <t>Not checked</t>
        </is>
      </c>
      <c r="N328" s="10" t="inlineStr">
        <is>
          <t>Target</t>
        </is>
      </c>
      <c r="S328" s="14" t="n"/>
      <c r="U328" s="14" t="n"/>
      <c r="X328" s="13" t="inlineStr"/>
      <c r="Y328" s="12" t="inlineStr">
        <is>
          <t>https://www.blogto.com/eat_drink/2026/03/cheap-eats-liberty-village-toronto/</t>
        </is>
      </c>
    </row>
    <row r="329">
      <c r="A329" s="10" t="n">
        <v>328</v>
      </c>
      <c r="B329" s="10" t="n">
        <v>2</v>
      </c>
      <c r="C329" s="11" t="inlineStr">
        <is>
          <t>Bairrada Churrasqueira</t>
        </is>
      </c>
      <c r="D329" s="10" t="inlineStr">
        <is>
          <t>Little Portugal</t>
        </is>
      </c>
      <c r="E329" s="10" t="inlineStr">
        <is>
          <t>Restaurant</t>
        </is>
      </c>
      <c r="F329" s="10" t="inlineStr">
        <is>
          <t>Portuguese grill</t>
        </is>
      </c>
      <c r="G329" s="10" t="inlineStr">
        <is>
          <t>1000 College St</t>
        </is>
      </c>
      <c r="H329" s="12" t="inlineStr">
        <is>
          <t>https://www.bairrada.ca/</t>
        </is>
      </c>
      <c r="I329" s="10" t="inlineStr"/>
      <c r="J329" s="10" t="inlineStr">
        <is>
          <t>416-539-8239</t>
        </is>
      </c>
      <c r="K329" s="10" t="inlineStr"/>
      <c r="L329" s="13" t="inlineStr">
        <is>
          <t>Family Portuguese grill house, a neighbourhood institution.</t>
        </is>
      </c>
      <c r="M329" s="10" t="inlineStr">
        <is>
          <t>Not checked</t>
        </is>
      </c>
      <c r="N329" s="10" t="inlineStr">
        <is>
          <t>Target</t>
        </is>
      </c>
      <c r="S329" s="14" t="n"/>
      <c r="U329" s="14" t="n"/>
      <c r="X329" s="13" t="inlineStr"/>
      <c r="Y329" s="12" t="inlineStr">
        <is>
          <t>https://www.bairrada.ca/</t>
        </is>
      </c>
    </row>
    <row r="330">
      <c r="A330" s="10" t="n">
        <v>329</v>
      </c>
      <c r="B330" s="10" t="n">
        <v>2</v>
      </c>
      <c r="C330" s="11" t="inlineStr">
        <is>
          <t>La Chingada</t>
        </is>
      </c>
      <c r="D330" s="10" t="inlineStr">
        <is>
          <t>Little Portugal</t>
        </is>
      </c>
      <c r="E330" s="10" t="inlineStr">
        <is>
          <t>Restaurant</t>
        </is>
      </c>
      <c r="F330" s="10" t="inlineStr">
        <is>
          <t>Mexican</t>
        </is>
      </c>
      <c r="G330" s="10" t="inlineStr">
        <is>
          <t>1242 Dundas St W</t>
        </is>
      </c>
      <c r="H330" s="12" t="inlineStr">
        <is>
          <t>http://lachingada.ca/</t>
        </is>
      </c>
      <c r="I330" s="12" t="inlineStr">
        <is>
          <t>@la_chingada</t>
        </is>
      </c>
      <c r="J330" s="10" t="inlineStr">
        <is>
          <t>416-535-2242</t>
        </is>
      </c>
      <c r="K330" s="10" t="inlineStr"/>
      <c r="L330" s="13" t="inlineStr">
        <is>
          <t>Neighbourhood Mexican spot that is adding brunch, good for repeat visits.</t>
        </is>
      </c>
      <c r="M330" s="10" t="inlineStr">
        <is>
          <t>Not checked</t>
        </is>
      </c>
      <c r="N330" s="10" t="inlineStr">
        <is>
          <t>Target</t>
        </is>
      </c>
      <c r="S330" s="14" t="n"/>
      <c r="U330" s="14" t="n"/>
      <c r="X330" s="13" t="inlineStr"/>
      <c r="Y330" s="12" t="inlineStr">
        <is>
          <t>http://lachingada.ca/</t>
        </is>
      </c>
    </row>
    <row r="331">
      <c r="A331" s="10" t="n">
        <v>330</v>
      </c>
      <c r="B331" s="10" t="n">
        <v>2</v>
      </c>
      <c r="C331" s="11" t="inlineStr">
        <is>
          <t>Le Baratin</t>
        </is>
      </c>
      <c r="D331" s="10" t="inlineStr">
        <is>
          <t>Little Portugal</t>
        </is>
      </c>
      <c r="E331" s="10" t="inlineStr">
        <is>
          <t>Restaurant</t>
        </is>
      </c>
      <c r="F331" s="10" t="inlineStr">
        <is>
          <t>French bistro</t>
        </is>
      </c>
      <c r="G331" s="10" t="inlineStr">
        <is>
          <t>1600 Dundas St W</t>
        </is>
      </c>
      <c r="H331" s="12" t="inlineStr">
        <is>
          <t>https://www.lebaratin.ca/</t>
        </is>
      </c>
      <c r="I331" s="12" t="inlineStr">
        <is>
          <t>@lebaratinyyz</t>
        </is>
      </c>
      <c r="J331" s="10" t="inlineStr">
        <is>
          <t>416-534-8800</t>
        </is>
      </c>
      <c r="K331" s="10" t="inlineStr"/>
      <c r="L331" s="13" t="inlineStr">
        <is>
          <t>Classic French bistro that fits the curated, bring-someone idea.</t>
        </is>
      </c>
      <c r="M331" s="10" t="inlineStr">
        <is>
          <t>Not checked</t>
        </is>
      </c>
      <c r="N331" s="10" t="inlineStr">
        <is>
          <t>Target</t>
        </is>
      </c>
      <c r="S331" s="14" t="n"/>
      <c r="U331" s="14" t="n"/>
      <c r="X331" s="13" t="inlineStr"/>
      <c r="Y331" s="12" t="inlineStr">
        <is>
          <t>https://www.lebaratin.ca/</t>
        </is>
      </c>
    </row>
    <row r="332">
      <c r="A332" s="10" t="n">
        <v>331</v>
      </c>
      <c r="B332" s="10" t="n">
        <v>2</v>
      </c>
      <c r="C332" s="11" t="inlineStr">
        <is>
          <t>Slowsouth Pizza</t>
        </is>
      </c>
      <c r="D332" s="10" t="inlineStr">
        <is>
          <t>Little Portugal</t>
        </is>
      </c>
      <c r="E332" s="10" t="inlineStr">
        <is>
          <t>Restaurant</t>
        </is>
      </c>
      <c r="F332" s="10" t="inlineStr">
        <is>
          <t>Italian, pizza</t>
        </is>
      </c>
      <c r="G332" s="10" t="inlineStr">
        <is>
          <t>1588 Dundas St W</t>
        </is>
      </c>
      <c r="H332" s="12" t="inlineStr">
        <is>
          <t>https://www.slowsouthpizza.com/</t>
        </is>
      </c>
      <c r="I332" s="12" t="inlineStr">
        <is>
          <t>@slowsouthpizza</t>
        </is>
      </c>
      <c r="J332" s="10" t="inlineStr">
        <is>
          <t>416-588-8010</t>
        </is>
      </c>
      <c r="K332" s="10" t="inlineStr"/>
      <c r="L332" s="13" t="inlineStr">
        <is>
          <t>Open-concept pizzeria that takes reservations, simple to run an offer.</t>
        </is>
      </c>
      <c r="M332" s="10" t="inlineStr">
        <is>
          <t>Not checked</t>
        </is>
      </c>
      <c r="N332" s="10" t="inlineStr">
        <is>
          <t>Target</t>
        </is>
      </c>
      <c r="S332" s="14" t="n"/>
      <c r="U332" s="14" t="n"/>
      <c r="X332" s="13" t="inlineStr"/>
      <c r="Y332" s="12" t="inlineStr">
        <is>
          <t>https://www.slowsouthpizza.com/</t>
        </is>
      </c>
    </row>
    <row r="333">
      <c r="A333" s="10" t="n">
        <v>332</v>
      </c>
      <c r="B333" s="10" t="n">
        <v>2</v>
      </c>
      <c r="C333" s="11" t="inlineStr">
        <is>
          <t>Stefano's</t>
        </is>
      </c>
      <c r="D333" s="10" t="inlineStr">
        <is>
          <t>Little Portugal</t>
        </is>
      </c>
      <c r="E333" s="10" t="inlineStr">
        <is>
          <t>Restaurant</t>
        </is>
      </c>
      <c r="F333" s="10" t="inlineStr">
        <is>
          <t>Italian, vegan</t>
        </is>
      </c>
      <c r="G333" s="10" t="inlineStr">
        <is>
          <t>1265 Dundas St W</t>
        </is>
      </c>
      <c r="H333" s="12" t="inlineStr">
        <is>
          <t>https://stefanosdiner.com/</t>
        </is>
      </c>
      <c r="I333" s="12" t="inlineStr">
        <is>
          <t>@stefanosdiner</t>
        </is>
      </c>
      <c r="J333" s="10" t="inlineStr">
        <is>
          <t>437-318-8697</t>
        </is>
      </c>
      <c r="K333" s="10" t="inlineStr"/>
      <c r="L333" s="13" t="inlineStr">
        <is>
          <t>Italian vegan dinner and weekend brunch, a fit for second-main offers.</t>
        </is>
      </c>
      <c r="M333" s="10" t="inlineStr">
        <is>
          <t>Not checked</t>
        </is>
      </c>
      <c r="N333" s="10" t="inlineStr">
        <is>
          <t>Target</t>
        </is>
      </c>
      <c r="S333" s="14" t="n"/>
      <c r="U333" s="14" t="n"/>
      <c r="X333" s="13" t="inlineStr"/>
      <c r="Y333" s="12" t="inlineStr">
        <is>
          <t>https://stefanosdiner.com/</t>
        </is>
      </c>
    </row>
    <row r="334">
      <c r="A334" s="10" t="n">
        <v>333</v>
      </c>
      <c r="B334" s="10" t="n">
        <v>2</v>
      </c>
      <c r="C334" s="11" t="inlineStr">
        <is>
          <t>Sukhothai</t>
        </is>
      </c>
      <c r="D334" s="10" t="inlineStr">
        <is>
          <t>Little Portugal</t>
        </is>
      </c>
      <c r="E334" s="10" t="inlineStr">
        <is>
          <t>Restaurant</t>
        </is>
      </c>
      <c r="F334" s="10" t="inlineStr">
        <is>
          <t>Thai</t>
        </is>
      </c>
      <c r="G334" s="10" t="inlineStr">
        <is>
          <t>1442 Dundas St W</t>
        </is>
      </c>
      <c r="H334" s="12" t="inlineStr">
        <is>
          <t>https://sukhothaifood.ca/</t>
        </is>
      </c>
      <c r="I334" s="12" t="inlineStr">
        <is>
          <t>@sukhothaifood</t>
        </is>
      </c>
      <c r="J334" s="10" t="inlineStr">
        <is>
          <t>416-792-2432</t>
        </is>
      </c>
      <c r="K334" s="10" t="inlineStr"/>
      <c r="L334" s="13" t="inlineStr">
        <is>
          <t>Well-known Thai kitchen, an easy weeknight two-for-one.</t>
        </is>
      </c>
      <c r="M334" s="10" t="inlineStr">
        <is>
          <t>Not checked</t>
        </is>
      </c>
      <c r="N334" s="10" t="inlineStr">
        <is>
          <t>Target</t>
        </is>
      </c>
      <c r="S334" s="14" t="n"/>
      <c r="U334" s="14" t="n"/>
      <c r="X334" s="13" t="inlineStr">
        <is>
          <t>Check it's open before visiting: weak online evidence.</t>
        </is>
      </c>
      <c r="Y334" s="12" t="inlineStr">
        <is>
          <t>https://sukhothaifood.ca/</t>
        </is>
      </c>
    </row>
    <row r="335">
      <c r="A335" s="10" t="n">
        <v>334</v>
      </c>
      <c r="B335" s="10" t="n">
        <v>2</v>
      </c>
      <c r="C335" s="11" t="inlineStr">
        <is>
          <t>Takja</t>
        </is>
      </c>
      <c r="D335" s="10" t="inlineStr">
        <is>
          <t>Little Portugal</t>
        </is>
      </c>
      <c r="E335" s="10" t="inlineStr">
        <is>
          <t>Restaurant</t>
        </is>
      </c>
      <c r="F335" s="10" t="inlineStr">
        <is>
          <t>Korean BBQ</t>
        </is>
      </c>
      <c r="G335" s="10" t="inlineStr">
        <is>
          <t>962 College St</t>
        </is>
      </c>
      <c r="H335" s="12" t="inlineStr">
        <is>
          <t>https://www.takja.ca/</t>
        </is>
      </c>
      <c r="I335" s="12" t="inlineStr">
        <is>
          <t>@takja_bbq</t>
        </is>
      </c>
      <c r="J335" s="10" t="inlineStr">
        <is>
          <t>647-638-7368</t>
        </is>
      </c>
      <c r="K335" s="10" t="inlineStr">
        <is>
          <t>Spare no expense (Michelin)</t>
        </is>
      </c>
      <c r="L335" s="13" t="inlineStr">
        <is>
          <t>Michelin-listed Korean barbecue, a high-end shared-table experience.</t>
        </is>
      </c>
      <c r="M335" s="10" t="inlineStr">
        <is>
          <t>Not checked</t>
        </is>
      </c>
      <c r="N335" s="10" t="inlineStr">
        <is>
          <t>Target</t>
        </is>
      </c>
      <c r="S335" s="14" t="n"/>
      <c r="U335" s="14" t="n"/>
      <c r="X335" s="13" t="inlineStr"/>
      <c r="Y335" s="12" t="inlineStr">
        <is>
          <t>https://guide.michelin.com/ca/en/ontario/toronto/restaurant/takja</t>
        </is>
      </c>
    </row>
    <row r="336">
      <c r="A336" s="10" t="n">
        <v>335</v>
      </c>
      <c r="B336" s="10" t="n">
        <v>2</v>
      </c>
      <c r="C336" s="11" t="inlineStr">
        <is>
          <t>Viaggio</t>
        </is>
      </c>
      <c r="D336" s="10" t="inlineStr">
        <is>
          <t>Little Portugal</t>
        </is>
      </c>
      <c r="E336" s="10" t="inlineStr">
        <is>
          <t>Restaurant</t>
        </is>
      </c>
      <c r="F336" s="10" t="inlineStr">
        <is>
          <t>Italian</t>
        </is>
      </c>
      <c r="G336" s="10" t="inlineStr">
        <is>
          <t>1727 Dundas St W</t>
        </is>
      </c>
      <c r="H336" s="12" t="inlineStr">
        <is>
          <t>https://viaggiorestaurant.ca/</t>
        </is>
      </c>
      <c r="I336" s="12" t="inlineStr">
        <is>
          <t>@viaggiorestaurant</t>
        </is>
      </c>
      <c r="J336" s="10" t="inlineStr">
        <is>
          <t>416-519-8165</t>
        </is>
      </c>
      <c r="K336" s="10" t="inlineStr">
        <is>
          <t>A moderate spend (Michelin)</t>
        </is>
      </c>
      <c r="L336" s="13" t="inlineStr">
        <is>
          <t>Michelin-listed Italian room open Wednesday to Sunday.</t>
        </is>
      </c>
      <c r="M336" s="10" t="inlineStr">
        <is>
          <t>Not checked</t>
        </is>
      </c>
      <c r="N336" s="10" t="inlineStr">
        <is>
          <t>Target</t>
        </is>
      </c>
      <c r="S336" s="14" t="n"/>
      <c r="U336" s="14" t="n"/>
      <c r="X336" s="13" t="inlineStr"/>
      <c r="Y336" s="12" t="inlineStr">
        <is>
          <t>https://guide.michelin.com/ca/en/ontario/toronto/restaurant/viaggio</t>
        </is>
      </c>
    </row>
    <row r="337">
      <c r="A337" s="10" t="n">
        <v>336</v>
      </c>
      <c r="B337" s="10" t="n">
        <v>2</v>
      </c>
      <c r="C337" s="11" t="inlineStr">
        <is>
          <t>Good Fork</t>
        </is>
      </c>
      <c r="D337" s="10" t="inlineStr">
        <is>
          <t>Little Portugal</t>
        </is>
      </c>
      <c r="E337" s="10" t="inlineStr">
        <is>
          <t>Brunch</t>
        </is>
      </c>
      <c r="F337" s="10" t="inlineStr">
        <is>
          <t>Brunch</t>
        </is>
      </c>
      <c r="G337" s="10" t="inlineStr">
        <is>
          <t>1550 Dundas St W</t>
        </is>
      </c>
      <c r="H337" s="12" t="inlineStr">
        <is>
          <t>https://goodfork.ca/</t>
        </is>
      </c>
      <c r="I337" s="12" t="inlineStr">
        <is>
          <t>@thegoodforkto</t>
        </is>
      </c>
      <c r="J337" s="10" t="inlineStr">
        <is>
          <t>647-352-5955</t>
        </is>
      </c>
      <c r="K337" s="10" t="inlineStr"/>
      <c r="L337" s="13" t="inlineStr">
        <is>
          <t>Popular brunch spot with weekday reservations, good for a quieter-day offer.</t>
        </is>
      </c>
      <c r="M337" s="10" t="inlineStr">
        <is>
          <t>Not checked</t>
        </is>
      </c>
      <c r="N337" s="10" t="inlineStr">
        <is>
          <t>Target</t>
        </is>
      </c>
      <c r="S337" s="14" t="n"/>
      <c r="U337" s="14" t="n"/>
      <c r="X337" s="13" t="inlineStr"/>
      <c r="Y337" s="12" t="inlineStr">
        <is>
          <t>https://goodfork.ca/</t>
        </is>
      </c>
    </row>
    <row r="338">
      <c r="A338" s="10" t="n">
        <v>337</v>
      </c>
      <c r="B338" s="10" t="n">
        <v>2</v>
      </c>
      <c r="C338" s="11" t="inlineStr">
        <is>
          <t>Afrobeat Kitchen</t>
        </is>
      </c>
      <c r="D338" s="10" t="inlineStr">
        <is>
          <t>Parkdale</t>
        </is>
      </c>
      <c r="E338" s="10" t="inlineStr">
        <is>
          <t>Restaurant</t>
        </is>
      </c>
      <c r="F338" s="10" t="inlineStr">
        <is>
          <t>West African</t>
        </is>
      </c>
      <c r="G338" s="10" t="inlineStr">
        <is>
          <t>1510 Queen St W</t>
        </is>
      </c>
      <c r="H338" s="10" t="inlineStr"/>
      <c r="I338" s="12" t="inlineStr">
        <is>
          <t>@afrobeatkitchen</t>
        </is>
      </c>
      <c r="J338" s="10" t="inlineStr">
        <is>
          <t>416-880-2994</t>
        </is>
      </c>
      <c r="K338" s="10" t="inlineStr"/>
      <c r="L338" s="13" t="inlineStr">
        <is>
          <t>Popular Nigerian and West African kitchen that hosts events.</t>
        </is>
      </c>
      <c r="M338" s="10" t="inlineStr">
        <is>
          <t>Not checked</t>
        </is>
      </c>
      <c r="N338" s="10" t="inlineStr">
        <is>
          <t>Target</t>
        </is>
      </c>
      <c r="S338" s="14" t="n"/>
      <c r="U338" s="14" t="n"/>
      <c r="X338" s="13" t="inlineStr">
        <is>
          <t>Check it's open before visiting: weak online evidence.</t>
        </is>
      </c>
      <c r="Y338" s="12" t="inlineStr">
        <is>
          <t>https://www.blogto.com/events/freedom-cookout-party-afrobeat-kitchen-toronto/</t>
        </is>
      </c>
    </row>
    <row r="339">
      <c r="A339" s="10" t="n">
        <v>338</v>
      </c>
      <c r="B339" s="10" t="n">
        <v>2</v>
      </c>
      <c r="C339" s="11" t="inlineStr">
        <is>
          <t>Armonia Pasta Bar</t>
        </is>
      </c>
      <c r="D339" s="10" t="inlineStr">
        <is>
          <t>Parkdale</t>
        </is>
      </c>
      <c r="E339" s="10" t="inlineStr">
        <is>
          <t>Restaurant</t>
        </is>
      </c>
      <c r="F339" s="10" t="inlineStr">
        <is>
          <t>Italian</t>
        </is>
      </c>
      <c r="G339" s="10" t="inlineStr">
        <is>
          <t>1316 Queen St W</t>
        </is>
      </c>
      <c r="H339" s="12" t="inlineStr">
        <is>
          <t>https://armoniapastabar.com/</t>
        </is>
      </c>
      <c r="I339" s="12" t="inlineStr">
        <is>
          <t>@armoniapastabar</t>
        </is>
      </c>
      <c r="J339" s="10" t="inlineStr">
        <is>
          <t>416-530-6922</t>
        </is>
      </c>
      <c r="K339" s="10" t="inlineStr"/>
      <c r="L339" s="13" t="inlineStr">
        <is>
          <t>Cozy pasta bar with reservations, a clean second-main fit.</t>
        </is>
      </c>
      <c r="M339" s="10" t="inlineStr">
        <is>
          <t>Not checked</t>
        </is>
      </c>
      <c r="N339" s="10" t="inlineStr">
        <is>
          <t>Target</t>
        </is>
      </c>
      <c r="S339" s="14" t="n"/>
      <c r="U339" s="14" t="n"/>
      <c r="X339" s="13" t="inlineStr"/>
      <c r="Y339" s="12" t="inlineStr">
        <is>
          <t>https://armoniapastabar.com/</t>
        </is>
      </c>
    </row>
    <row r="340">
      <c r="A340" s="10" t="n">
        <v>339</v>
      </c>
      <c r="B340" s="10" t="n">
        <v>2</v>
      </c>
      <c r="C340" s="11" t="inlineStr">
        <is>
          <t>Batibot</t>
        </is>
      </c>
      <c r="D340" s="10" t="inlineStr">
        <is>
          <t>Parkdale</t>
        </is>
      </c>
      <c r="E340" s="10" t="inlineStr">
        <is>
          <t>Restaurant</t>
        </is>
      </c>
      <c r="F340" s="10" t="inlineStr">
        <is>
          <t>Filipino</t>
        </is>
      </c>
      <c r="G340" s="10" t="inlineStr">
        <is>
          <t>1483 Queen St W</t>
        </is>
      </c>
      <c r="H340" s="10" t="inlineStr"/>
      <c r="I340" s="10" t="inlineStr"/>
      <c r="J340" s="10" t="inlineStr"/>
      <c r="K340" s="10" t="inlineStr"/>
      <c r="L340" s="13" t="inlineStr">
        <is>
          <t>Casual Filipino spot named in a 2025 Parkdale guide.</t>
        </is>
      </c>
      <c r="M340" s="10" t="inlineStr">
        <is>
          <t>Not checked</t>
        </is>
      </c>
      <c r="N340" s="10" t="inlineStr">
        <is>
          <t>Target</t>
        </is>
      </c>
      <c r="S340" s="14" t="n"/>
      <c r="U340" s="14" t="n"/>
      <c r="X340" s="13" t="inlineStr">
        <is>
          <t>Check it's open before visiting: weak online evidence.</t>
        </is>
      </c>
      <c r="Y340" s="12" t="inlineStr">
        <is>
          <t>https://curiocity.com/torontos-parkdale-neighbourhood-guide/</t>
        </is>
      </c>
    </row>
    <row r="341">
      <c r="A341" s="10" t="n">
        <v>340</v>
      </c>
      <c r="B341" s="10" t="n">
        <v>2</v>
      </c>
      <c r="C341" s="11" t="inlineStr">
        <is>
          <t>Daymi</t>
        </is>
      </c>
      <c r="D341" s="10" t="inlineStr">
        <is>
          <t>Parkdale</t>
        </is>
      </c>
      <c r="E341" s="10" t="inlineStr">
        <is>
          <t>Restaurant</t>
        </is>
      </c>
      <c r="F341" s="10" t="inlineStr">
        <is>
          <t>Lebanese</t>
        </is>
      </c>
      <c r="G341" s="10" t="inlineStr">
        <is>
          <t>1376 Queen St W</t>
        </is>
      </c>
      <c r="H341" s="12" t="inlineStr">
        <is>
          <t>https://www.daymi.ca/</t>
        </is>
      </c>
      <c r="I341" s="12" t="inlineStr">
        <is>
          <t>@daymi_ca</t>
        </is>
      </c>
      <c r="J341" s="10" t="inlineStr">
        <is>
          <t>437-324-8844</t>
        </is>
      </c>
      <c r="K341" s="10" t="inlineStr"/>
      <c r="L341" s="13" t="inlineStr">
        <is>
          <t>Lebanese sharing plates suited to bringing someone along.</t>
        </is>
      </c>
      <c r="M341" s="10" t="inlineStr">
        <is>
          <t>Not checked</t>
        </is>
      </c>
      <c r="N341" s="10" t="inlineStr">
        <is>
          <t>Target</t>
        </is>
      </c>
      <c r="S341" s="14" t="n"/>
      <c r="U341" s="14" t="n"/>
      <c r="X341" s="13" t="inlineStr"/>
      <c r="Y341" s="12" t="inlineStr">
        <is>
          <t>https://www.daymi.ca/</t>
        </is>
      </c>
    </row>
    <row r="342">
      <c r="A342" s="10" t="n">
        <v>341</v>
      </c>
      <c r="B342" s="10" t="n">
        <v>2</v>
      </c>
      <c r="C342" s="11" t="inlineStr">
        <is>
          <t>Garleek Kitchen</t>
        </is>
      </c>
      <c r="D342" s="10" t="inlineStr">
        <is>
          <t>Parkdale</t>
        </is>
      </c>
      <c r="E342" s="10" t="inlineStr">
        <is>
          <t>Restaurant</t>
        </is>
      </c>
      <c r="F342" s="10" t="inlineStr">
        <is>
          <t>Tibetan fusion</t>
        </is>
      </c>
      <c r="G342" s="10" t="inlineStr">
        <is>
          <t>1500 Queen St W</t>
        </is>
      </c>
      <c r="H342" s="12" t="inlineStr">
        <is>
          <t>https://www.garleekkitchen.com/</t>
        </is>
      </c>
      <c r="I342" s="12" t="inlineStr">
        <is>
          <t>@garleekkitchen</t>
        </is>
      </c>
      <c r="J342" s="10" t="inlineStr">
        <is>
          <t>416-551-0929</t>
        </is>
      </c>
      <c r="K342" s="10" t="inlineStr"/>
      <c r="L342" s="13" t="inlineStr">
        <is>
          <t>Modern Tibetan fusion in Little Tibet, a fresh discovery for members.</t>
        </is>
      </c>
      <c r="M342" s="10" t="inlineStr">
        <is>
          <t>Not checked</t>
        </is>
      </c>
      <c r="N342" s="10" t="inlineStr">
        <is>
          <t>Target</t>
        </is>
      </c>
      <c r="S342" s="14" t="n"/>
      <c r="U342" s="14" t="n"/>
      <c r="X342" s="13" t="inlineStr"/>
      <c r="Y342" s="12" t="inlineStr">
        <is>
          <t>https://www.garleekkitchen.com/</t>
        </is>
      </c>
    </row>
    <row r="343">
      <c r="A343" s="10" t="n">
        <v>342</v>
      </c>
      <c r="B343" s="10" t="n">
        <v>2</v>
      </c>
      <c r="C343" s="11" t="inlineStr">
        <is>
          <t>Himalayan Kitchen</t>
        </is>
      </c>
      <c r="D343" s="10" t="inlineStr">
        <is>
          <t>Parkdale</t>
        </is>
      </c>
      <c r="E343" s="10" t="inlineStr">
        <is>
          <t>Restaurant</t>
        </is>
      </c>
      <c r="F343" s="10" t="inlineStr">
        <is>
          <t>Tibetan, Nepali</t>
        </is>
      </c>
      <c r="G343" s="10" t="inlineStr">
        <is>
          <t>1526 Queen St W</t>
        </is>
      </c>
      <c r="H343" s="10" t="inlineStr"/>
      <c r="I343" s="10" t="inlineStr"/>
      <c r="J343" s="10" t="inlineStr"/>
      <c r="K343" s="10" t="inlineStr"/>
      <c r="L343" s="13" t="inlineStr">
        <is>
          <t>Little Tibet kitchen named in a 2025 Parkdale guide.</t>
        </is>
      </c>
      <c r="M343" s="10" t="inlineStr">
        <is>
          <t>Not checked</t>
        </is>
      </c>
      <c r="N343" s="10" t="inlineStr">
        <is>
          <t>Target</t>
        </is>
      </c>
      <c r="S343" s="14" t="n"/>
      <c r="U343" s="14" t="n"/>
      <c r="X343" s="13" t="inlineStr">
        <is>
          <t>Check it's open before visiting: weak online evidence.</t>
        </is>
      </c>
      <c r="Y343" s="12" t="inlineStr">
        <is>
          <t>https://curiocity.com/torontos-parkdale-neighbourhood-guide/</t>
        </is>
      </c>
    </row>
    <row r="344">
      <c r="A344" s="10" t="n">
        <v>343</v>
      </c>
      <c r="B344" s="10" t="n">
        <v>2</v>
      </c>
      <c r="C344" s="11" t="inlineStr">
        <is>
          <t>Loga's Corner</t>
        </is>
      </c>
      <c r="D344" s="10" t="inlineStr">
        <is>
          <t>Parkdale</t>
        </is>
      </c>
      <c r="E344" s="10" t="inlineStr">
        <is>
          <t>Restaurant</t>
        </is>
      </c>
      <c r="F344" s="10" t="inlineStr">
        <is>
          <t>Tibetan, momos</t>
        </is>
      </c>
      <c r="G344" s="10" t="inlineStr">
        <is>
          <t>216 Close Ave</t>
        </is>
      </c>
      <c r="H344" s="10" t="inlineStr"/>
      <c r="I344" s="10" t="inlineStr"/>
      <c r="J344" s="10" t="inlineStr">
        <is>
          <t>647-761-0965</t>
        </is>
      </c>
      <c r="K344" s="10" t="inlineStr"/>
      <c r="L344" s="13" t="inlineStr">
        <is>
          <t>Tiny momo spot with a cult local following.</t>
        </is>
      </c>
      <c r="M344" s="10" t="inlineStr">
        <is>
          <t>Not checked</t>
        </is>
      </c>
      <c r="N344" s="10" t="inlineStr">
        <is>
          <t>Target</t>
        </is>
      </c>
      <c r="S344" s="14" t="n"/>
      <c r="U344" s="14" t="n"/>
      <c r="X344" s="13" t="inlineStr">
        <is>
          <t>Check it's open before visiting: weak online evidence.</t>
        </is>
      </c>
      <c r="Y344" s="12" t="inlineStr">
        <is>
          <t>https://curiocity.com/torontos-parkdale-neighbourhood-guide/</t>
        </is>
      </c>
    </row>
    <row r="345">
      <c r="A345" s="10" t="n">
        <v>344</v>
      </c>
      <c r="B345" s="10" t="n">
        <v>2</v>
      </c>
      <c r="C345" s="11" t="inlineStr">
        <is>
          <t>Molkagtez Mexican Cuisine</t>
        </is>
      </c>
      <c r="D345" s="10" t="inlineStr">
        <is>
          <t>Parkdale</t>
        </is>
      </c>
      <c r="E345" s="10" t="inlineStr">
        <is>
          <t>Restaurant</t>
        </is>
      </c>
      <c r="F345" s="10" t="inlineStr">
        <is>
          <t>Mexican</t>
        </is>
      </c>
      <c r="G345" s="10" t="inlineStr">
        <is>
          <t>1263 Queen St W</t>
        </is>
      </c>
      <c r="H345" s="12" t="inlineStr">
        <is>
          <t>https://www.molkagtez.com/</t>
        </is>
      </c>
      <c r="I345" s="12" t="inlineStr">
        <is>
          <t>@molkagtez</t>
        </is>
      </c>
      <c r="J345" s="10" t="inlineStr">
        <is>
          <t>416-531-1115</t>
        </is>
      </c>
      <c r="K345" s="10" t="inlineStr"/>
      <c r="L345" s="13" t="inlineStr">
        <is>
          <t>Lively Mexican room, a fun pick for groups of two or four.</t>
        </is>
      </c>
      <c r="M345" s="10" t="inlineStr">
        <is>
          <t>Not checked</t>
        </is>
      </c>
      <c r="N345" s="10" t="inlineStr">
        <is>
          <t>Target</t>
        </is>
      </c>
      <c r="S345" s="14" t="n"/>
      <c r="U345" s="14" t="n"/>
      <c r="X345" s="13" t="inlineStr"/>
      <c r="Y345" s="12" t="inlineStr">
        <is>
          <t>https://www.molkagtez.com/</t>
        </is>
      </c>
    </row>
    <row r="346">
      <c r="A346" s="10" t="n">
        <v>345</v>
      </c>
      <c r="B346" s="10" t="n">
        <v>2</v>
      </c>
      <c r="C346" s="11" t="inlineStr">
        <is>
          <t>Nuna Kitchen &amp; Bar</t>
        </is>
      </c>
      <c r="D346" s="10" t="inlineStr">
        <is>
          <t>Parkdale</t>
        </is>
      </c>
      <c r="E346" s="10" t="inlineStr">
        <is>
          <t>Restaurant</t>
        </is>
      </c>
      <c r="F346" s="10" t="inlineStr">
        <is>
          <t>Peruvian</t>
        </is>
      </c>
      <c r="G346" s="10" t="inlineStr">
        <is>
          <t>1265 Queen St W</t>
        </is>
      </c>
      <c r="H346" s="10" t="inlineStr"/>
      <c r="I346" s="12" t="inlineStr">
        <is>
          <t>@nunatoronto</t>
        </is>
      </c>
      <c r="J346" s="10" t="inlineStr">
        <is>
          <t>416-538-6335</t>
        </is>
      </c>
      <c r="K346" s="10" t="inlineStr"/>
      <c r="L346" s="13" t="inlineStr">
        <is>
          <t>Owner-run modern Peruvian with weekend brunch and a patio.</t>
        </is>
      </c>
      <c r="M346" s="10" t="inlineStr">
        <is>
          <t>Not checked</t>
        </is>
      </c>
      <c r="N346" s="10" t="inlineStr">
        <is>
          <t>Target</t>
        </is>
      </c>
      <c r="S346" s="14" t="n"/>
      <c r="U346" s="14" t="n"/>
      <c r="X346" s="13" t="inlineStr">
        <is>
          <t>Check it's open before visiting: weak online evidence.</t>
        </is>
      </c>
      <c r="Y346" s="12" t="inlineStr">
        <is>
          <t>https://streetsoftoronto.com/nuna-toronto-peruvian-parkdale/</t>
        </is>
      </c>
    </row>
    <row r="347">
      <c r="A347" s="10" t="n">
        <v>346</v>
      </c>
      <c r="B347" s="10" t="n">
        <v>2</v>
      </c>
      <c r="C347" s="11" t="inlineStr">
        <is>
          <t>Shangrila</t>
        </is>
      </c>
      <c r="D347" s="10" t="inlineStr">
        <is>
          <t>Parkdale</t>
        </is>
      </c>
      <c r="E347" s="10" t="inlineStr">
        <is>
          <t>Restaurant</t>
        </is>
      </c>
      <c r="F347" s="10" t="inlineStr">
        <is>
          <t>Tibetan</t>
        </is>
      </c>
      <c r="G347" s="10" t="inlineStr">
        <is>
          <t>1600 Queen St W</t>
        </is>
      </c>
      <c r="H347" s="12" t="inlineStr">
        <is>
          <t>https://shangrilarestaurant.ca/</t>
        </is>
      </c>
      <c r="I347" s="12" t="inlineStr">
        <is>
          <t>@shangrilatibetancuisine</t>
        </is>
      </c>
      <c r="J347" s="10" t="inlineStr">
        <is>
          <t>416-588-1100</t>
        </is>
      </c>
      <c r="K347" s="10" t="inlineStr"/>
      <c r="L347" s="13" t="inlineStr">
        <is>
          <t>Cozy Little Tibet spot known for momos and thali.</t>
        </is>
      </c>
      <c r="M347" s="10" t="inlineStr">
        <is>
          <t>Not checked</t>
        </is>
      </c>
      <c r="N347" s="10" t="inlineStr">
        <is>
          <t>Target</t>
        </is>
      </c>
      <c r="S347" s="14" t="n"/>
      <c r="U347" s="14" t="n"/>
      <c r="X347" s="13" t="inlineStr"/>
      <c r="Y347" s="12" t="inlineStr">
        <is>
          <t>https://shangrilarestaurant.ca/</t>
        </is>
      </c>
    </row>
    <row r="348">
      <c r="A348" s="10" t="n">
        <v>347</v>
      </c>
      <c r="B348" s="10" t="n">
        <v>2</v>
      </c>
      <c r="C348" s="11" t="inlineStr">
        <is>
          <t>Tibet Kitchen</t>
        </is>
      </c>
      <c r="D348" s="10" t="inlineStr">
        <is>
          <t>Parkdale</t>
        </is>
      </c>
      <c r="E348" s="10" t="inlineStr">
        <is>
          <t>Restaurant</t>
        </is>
      </c>
      <c r="F348" s="10" t="inlineStr">
        <is>
          <t>Tibetan, Himalayan</t>
        </is>
      </c>
      <c r="G348" s="10" t="inlineStr">
        <is>
          <t>1544 Queen St W</t>
        </is>
      </c>
      <c r="H348" s="12" t="inlineStr">
        <is>
          <t>http://tibetkitchen.ca/</t>
        </is>
      </c>
      <c r="I348" s="10" t="inlineStr"/>
      <c r="J348" s="10" t="inlineStr">
        <is>
          <t>416-913-8726</t>
        </is>
      </c>
      <c r="K348" s="10" t="inlineStr"/>
      <c r="L348" s="13" t="inlineStr">
        <is>
          <t>Little Tibet favourite with a patio, good weeknight traffic builder.</t>
        </is>
      </c>
      <c r="M348" s="10" t="inlineStr">
        <is>
          <t>Not checked</t>
        </is>
      </c>
      <c r="N348" s="10" t="inlineStr">
        <is>
          <t>Target</t>
        </is>
      </c>
      <c r="S348" s="14" t="n"/>
      <c r="U348" s="14" t="n"/>
      <c r="X348" s="13" t="inlineStr"/>
      <c r="Y348" s="12" t="inlineStr">
        <is>
          <t>http://tibetkitchen.ca/</t>
        </is>
      </c>
    </row>
    <row r="349">
      <c r="A349" s="10" t="n">
        <v>348</v>
      </c>
      <c r="B349" s="10" t="n">
        <v>2</v>
      </c>
      <c r="C349" s="11" t="inlineStr">
        <is>
          <t>Easy Restaurant</t>
        </is>
      </c>
      <c r="D349" s="10" t="inlineStr">
        <is>
          <t>Parkdale</t>
        </is>
      </c>
      <c r="E349" s="10" t="inlineStr">
        <is>
          <t>Brunch</t>
        </is>
      </c>
      <c r="F349" s="10" t="inlineStr">
        <is>
          <t>Breakfast, brunch</t>
        </is>
      </c>
      <c r="G349" s="10" t="inlineStr">
        <is>
          <t>1645 Queen St W</t>
        </is>
      </c>
      <c r="H349" s="10" t="inlineStr"/>
      <c r="I349" s="10" t="inlineStr"/>
      <c r="J349" s="10" t="inlineStr">
        <is>
          <t>416-537-4893</t>
        </is>
      </c>
      <c r="K349" s="10" t="inlineStr"/>
      <c r="L349" s="13" t="inlineStr">
        <is>
          <t>Parkdale brunch staple, a natural weekday brunch-for-two.</t>
        </is>
      </c>
      <c r="M349" s="10" t="inlineStr">
        <is>
          <t>Not checked</t>
        </is>
      </c>
      <c r="N349" s="10" t="inlineStr">
        <is>
          <t>Target</t>
        </is>
      </c>
      <c r="S349" s="14" t="n"/>
      <c r="U349" s="14" t="n"/>
      <c r="X349" s="13" t="inlineStr">
        <is>
          <t>Check it's open before visiting: weak online evidence.</t>
        </is>
      </c>
      <c r="Y349" s="12" t="inlineStr">
        <is>
          <t>https://curiocity.com/torontos-parkdale-neighbourhood-guide/</t>
        </is>
      </c>
    </row>
    <row r="350">
      <c r="A350" s="10" t="n">
        <v>349</v>
      </c>
      <c r="B350" s="10" t="n">
        <v>2</v>
      </c>
      <c r="C350" s="11" t="inlineStr">
        <is>
          <t>Capital Espresso</t>
        </is>
      </c>
      <c r="D350" s="10" t="inlineStr">
        <is>
          <t>Parkdale</t>
        </is>
      </c>
      <c r="E350" s="10" t="inlineStr">
        <is>
          <t>Café</t>
        </is>
      </c>
      <c r="F350" s="10" t="inlineStr">
        <is>
          <t>Coffee, pastries</t>
        </is>
      </c>
      <c r="G350" s="10" t="inlineStr">
        <is>
          <t>1349 Queen St W</t>
        </is>
      </c>
      <c r="H350" s="12" t="inlineStr">
        <is>
          <t>https://capitalespresso.ca/</t>
        </is>
      </c>
      <c r="I350" s="10" t="inlineStr"/>
      <c r="J350" s="10" t="inlineStr">
        <is>
          <t>416-531-7730</t>
        </is>
      </c>
      <c r="K350" s="10" t="inlineStr"/>
      <c r="L350" s="13" t="inlineStr">
        <is>
          <t>Neighbourhood espresso bar, a good free-upgrade style offer.</t>
        </is>
      </c>
      <c r="M350" s="10" t="inlineStr">
        <is>
          <t>Not checked</t>
        </is>
      </c>
      <c r="N350" s="10" t="inlineStr">
        <is>
          <t>Target</t>
        </is>
      </c>
      <c r="S350" s="14" t="n"/>
      <c r="U350" s="14" t="n"/>
      <c r="X350" s="13" t="inlineStr"/>
      <c r="Y350" s="12" t="inlineStr">
        <is>
          <t>https://capitalespresso.ca/</t>
        </is>
      </c>
    </row>
    <row r="351">
      <c r="A351" s="10" t="n">
        <v>350</v>
      </c>
      <c r="B351" s="10" t="n">
        <v>2</v>
      </c>
      <c r="C351" s="11" t="inlineStr">
        <is>
          <t>Tiny Cafe</t>
        </is>
      </c>
      <c r="D351" s="10" t="inlineStr">
        <is>
          <t>Parkdale</t>
        </is>
      </c>
      <c r="E351" s="10" t="inlineStr">
        <is>
          <t>Café</t>
        </is>
      </c>
      <c r="F351" s="10" t="inlineStr">
        <is>
          <t>Tibetan, momos</t>
        </is>
      </c>
      <c r="G351" s="10" t="inlineStr">
        <is>
          <t>10 Macdonell Ave</t>
        </is>
      </c>
      <c r="H351" s="10" t="inlineStr"/>
      <c r="I351" s="12" t="inlineStr">
        <is>
          <t>@tinycafeparkdale</t>
        </is>
      </c>
      <c r="J351" s="10" t="inlineStr"/>
      <c r="K351" s="10" t="inlineStr"/>
      <c r="L351" s="13" t="inlineStr">
        <is>
          <t>Small momo café, fits a low-cost bring-a-friend offer.</t>
        </is>
      </c>
      <c r="M351" s="10" t="inlineStr">
        <is>
          <t>Not checked</t>
        </is>
      </c>
      <c r="N351" s="10" t="inlineStr">
        <is>
          <t>Target</t>
        </is>
      </c>
      <c r="S351" s="14" t="n"/>
      <c r="U351" s="14" t="n"/>
      <c r="X351" s="13" t="inlineStr">
        <is>
          <t>Check it's open before visiting: weak online evidence.</t>
        </is>
      </c>
      <c r="Y351" s="12" t="inlineStr">
        <is>
          <t>https://curiocity.com/torontos-parkdale-neighbourhood-guide/</t>
        </is>
      </c>
    </row>
    <row r="352">
      <c r="A352" s="10" t="n">
        <v>351</v>
      </c>
      <c r="B352" s="10" t="n">
        <v>2</v>
      </c>
      <c r="C352" s="11" t="inlineStr">
        <is>
          <t>Aisle 3</t>
        </is>
      </c>
      <c r="D352" s="10" t="inlineStr">
        <is>
          <t>The Junction</t>
        </is>
      </c>
      <c r="E352" s="10" t="inlineStr">
        <is>
          <t>Restaurant</t>
        </is>
      </c>
      <c r="F352" s="10" t="inlineStr">
        <is>
          <t>Vietnamese, Southeast Asian</t>
        </is>
      </c>
      <c r="G352" s="10" t="inlineStr">
        <is>
          <t>2535 Dundas St W</t>
        </is>
      </c>
      <c r="H352" s="12" t="inlineStr">
        <is>
          <t>https://aisle3bar.ca/</t>
        </is>
      </c>
      <c r="I352" s="12" t="inlineStr">
        <is>
          <t>@aisle3bar</t>
        </is>
      </c>
      <c r="J352" s="10" t="inlineStr">
        <is>
          <t>437-880-9790</t>
        </is>
      </c>
      <c r="K352" s="10" t="inlineStr"/>
      <c r="L352" s="13" t="inlineStr">
        <is>
          <t>Modern Vietnamese small plates in a candlelit room.</t>
        </is>
      </c>
      <c r="M352" s="10" t="inlineStr">
        <is>
          <t>Not checked</t>
        </is>
      </c>
      <c r="N352" s="10" t="inlineStr">
        <is>
          <t>Target</t>
        </is>
      </c>
      <c r="S352" s="14" t="n"/>
      <c r="U352" s="14" t="n"/>
      <c r="X352" s="13" t="inlineStr"/>
      <c r="Y352" s="12" t="inlineStr">
        <is>
          <t>https://aisle3bar.ca/</t>
        </is>
      </c>
    </row>
    <row r="353">
      <c r="A353" s="10" t="n">
        <v>352</v>
      </c>
      <c r="B353" s="10" t="n">
        <v>2</v>
      </c>
      <c r="C353" s="11" t="inlineStr">
        <is>
          <t>Botham's</t>
        </is>
      </c>
      <c r="D353" s="10" t="inlineStr">
        <is>
          <t>The Junction</t>
        </is>
      </c>
      <c r="E353" s="10" t="inlineStr">
        <is>
          <t>Restaurant</t>
        </is>
      </c>
      <c r="F353" s="10" t="inlineStr">
        <is>
          <t>Café, bistro</t>
        </is>
      </c>
      <c r="G353" s="10" t="inlineStr">
        <is>
          <t>2869 Dundas St W</t>
        </is>
      </c>
      <c r="H353" s="12" t="inlineStr">
        <is>
          <t>https://bothams.ca/</t>
        </is>
      </c>
      <c r="I353" s="10" t="inlineStr"/>
      <c r="J353" s="10" t="inlineStr">
        <is>
          <t>647-883-7781</t>
        </is>
      </c>
      <c r="K353" s="10" t="inlineStr"/>
      <c r="L353" s="13" t="inlineStr">
        <is>
          <t>Breakfast, lunch and dinner with a bottle shop, an all-day fit.</t>
        </is>
      </c>
      <c r="M353" s="10" t="inlineStr">
        <is>
          <t>Not checked</t>
        </is>
      </c>
      <c r="N353" s="10" t="inlineStr">
        <is>
          <t>Target</t>
        </is>
      </c>
      <c r="S353" s="14" t="n"/>
      <c r="U353" s="14" t="n"/>
      <c r="X353" s="13" t="inlineStr">
        <is>
          <t>Check it's open before visiting: weak online evidence.</t>
        </is>
      </c>
      <c r="Y353" s="12" t="inlineStr">
        <is>
          <t>https://bothams.ca/</t>
        </is>
      </c>
    </row>
    <row r="354">
      <c r="A354" s="10" t="n">
        <v>353</v>
      </c>
      <c r="B354" s="10" t="n">
        <v>2</v>
      </c>
      <c r="C354" s="11" t="inlineStr">
        <is>
          <t>Curry Twist</t>
        </is>
      </c>
      <c r="D354" s="10" t="inlineStr">
        <is>
          <t>The Junction</t>
        </is>
      </c>
      <c r="E354" s="10" t="inlineStr">
        <is>
          <t>Restaurant</t>
        </is>
      </c>
      <c r="F354" s="10" t="inlineStr">
        <is>
          <t>North Indian</t>
        </is>
      </c>
      <c r="G354" s="10" t="inlineStr">
        <is>
          <t>3034 Dundas St W</t>
        </is>
      </c>
      <c r="H354" s="12" t="inlineStr">
        <is>
          <t>http://www.currytwist.com/</t>
        </is>
      </c>
      <c r="I354" s="12" t="inlineStr">
        <is>
          <t>@curry_twist</t>
        </is>
      </c>
      <c r="J354" s="10" t="inlineStr">
        <is>
          <t>416-769-5460</t>
        </is>
      </c>
      <c r="K354" s="10" t="inlineStr"/>
      <c r="L354" s="13" t="inlineStr">
        <is>
          <t>Long-running North Indian spot with a loyal local base.</t>
        </is>
      </c>
      <c r="M354" s="10" t="inlineStr">
        <is>
          <t>Not checked</t>
        </is>
      </c>
      <c r="N354" s="10" t="inlineStr">
        <is>
          <t>Target</t>
        </is>
      </c>
      <c r="S354" s="14" t="n"/>
      <c r="U354" s="14" t="n"/>
      <c r="X354" s="13" t="inlineStr"/>
      <c r="Y354" s="12" t="inlineStr">
        <is>
          <t>http://www.currytwist.com/</t>
        </is>
      </c>
    </row>
    <row r="355">
      <c r="A355" s="10" t="n">
        <v>354</v>
      </c>
      <c r="B355" s="10" t="n">
        <v>2</v>
      </c>
      <c r="C355" s="11" t="inlineStr">
        <is>
          <t>Enoteca Rossio</t>
        </is>
      </c>
      <c r="D355" s="10" t="inlineStr">
        <is>
          <t>The Junction</t>
        </is>
      </c>
      <c r="E355" s="10" t="inlineStr">
        <is>
          <t>Restaurant</t>
        </is>
      </c>
      <c r="F355" s="10" t="inlineStr">
        <is>
          <t>Italian</t>
        </is>
      </c>
      <c r="G355" s="10" t="inlineStr">
        <is>
          <t>1444 Dupont St</t>
        </is>
      </c>
      <c r="H355" s="12" t="inlineStr">
        <is>
          <t>https://www.enotecarossio.com/</t>
        </is>
      </c>
      <c r="I355" s="12" t="inlineStr">
        <is>
          <t>@enoteca.rossio</t>
        </is>
      </c>
      <c r="J355" s="10" t="inlineStr">
        <is>
          <t>416-536-5100</t>
        </is>
      </c>
      <c r="K355" s="10" t="inlineStr"/>
      <c r="L355" s="13" t="inlineStr">
        <is>
          <t>Newer Italian room, a good date-night fit.</t>
        </is>
      </c>
      <c r="M355" s="10" t="inlineStr">
        <is>
          <t>Not checked</t>
        </is>
      </c>
      <c r="N355" s="10" t="inlineStr">
        <is>
          <t>Target</t>
        </is>
      </c>
      <c r="S355" s="14" t="n"/>
      <c r="U355" s="14" t="n"/>
      <c r="X355" s="13" t="inlineStr"/>
      <c r="Y355" s="12" t="inlineStr">
        <is>
          <t>https://www.enotecarossio.com/</t>
        </is>
      </c>
    </row>
    <row r="356">
      <c r="A356" s="10" t="n">
        <v>355</v>
      </c>
      <c r="B356" s="10" t="n">
        <v>2</v>
      </c>
      <c r="C356" s="11" t="inlineStr">
        <is>
          <t>Indilicious</t>
        </is>
      </c>
      <c r="D356" s="10" t="inlineStr">
        <is>
          <t>The Junction</t>
        </is>
      </c>
      <c r="E356" s="10" t="inlineStr">
        <is>
          <t>Restaurant</t>
        </is>
      </c>
      <c r="F356" s="10" t="inlineStr">
        <is>
          <t>Indian</t>
        </is>
      </c>
      <c r="G356" s="10" t="inlineStr">
        <is>
          <t>3358 Dundas St W</t>
        </is>
      </c>
      <c r="H356" s="12" t="inlineStr">
        <is>
          <t>https://indilicious.ca/</t>
        </is>
      </c>
      <c r="I356" s="10" t="inlineStr"/>
      <c r="J356" s="10" t="inlineStr">
        <is>
          <t>416-769-4270</t>
        </is>
      </c>
      <c r="K356" s="10" t="inlineStr"/>
      <c r="L356" s="13" t="inlineStr">
        <is>
          <t>Dine-in Indian, open Tuesday to Sunday evenings.</t>
        </is>
      </c>
      <c r="M356" s="10" t="inlineStr">
        <is>
          <t>Not checked</t>
        </is>
      </c>
      <c r="N356" s="10" t="inlineStr">
        <is>
          <t>Target</t>
        </is>
      </c>
      <c r="S356" s="14" t="n"/>
      <c r="U356" s="14" t="n"/>
      <c r="X356" s="13" t="inlineStr"/>
      <c r="Y356" s="12" t="inlineStr">
        <is>
          <t>https://indilicious.ca/</t>
        </is>
      </c>
    </row>
    <row r="357">
      <c r="A357" s="10" t="n">
        <v>356</v>
      </c>
      <c r="B357" s="10" t="n">
        <v>2</v>
      </c>
      <c r="C357" s="11" t="inlineStr">
        <is>
          <t>Isaan Der</t>
        </is>
      </c>
      <c r="D357" s="10" t="inlineStr">
        <is>
          <t>The Junction</t>
        </is>
      </c>
      <c r="E357" s="10" t="inlineStr">
        <is>
          <t>Restaurant</t>
        </is>
      </c>
      <c r="F357" s="10" t="inlineStr">
        <is>
          <t>Thai (Isan)</t>
        </is>
      </c>
      <c r="G357" s="10" t="inlineStr">
        <is>
          <t>2961 Dundas St W</t>
        </is>
      </c>
      <c r="H357" s="12" t="inlineStr">
        <is>
          <t>https://isaander.com/</t>
        </is>
      </c>
      <c r="I357" s="12" t="inlineStr">
        <is>
          <t>@isaan_der</t>
        </is>
      </c>
      <c r="J357" s="10" t="inlineStr">
        <is>
          <t>416-604-0062</t>
        </is>
      </c>
      <c r="K357" s="10" t="inlineStr"/>
      <c r="L357" s="13" t="inlineStr">
        <is>
          <t>Northeastern Thai with a following, local group of three rooms.</t>
        </is>
      </c>
      <c r="M357" s="10" t="inlineStr">
        <is>
          <t>Not checked</t>
        </is>
      </c>
      <c r="N357" s="10" t="inlineStr">
        <is>
          <t>Target</t>
        </is>
      </c>
      <c r="S357" s="14" t="n"/>
      <c r="U357" s="14" t="n"/>
      <c r="X357" s="13" t="inlineStr"/>
      <c r="Y357" s="12" t="inlineStr">
        <is>
          <t>https://isaander.com/</t>
        </is>
      </c>
    </row>
    <row r="358">
      <c r="A358" s="10" t="n">
        <v>357</v>
      </c>
      <c r="B358" s="10" t="n">
        <v>2</v>
      </c>
      <c r="C358" s="11" t="inlineStr">
        <is>
          <t>Lokum Eats</t>
        </is>
      </c>
      <c r="D358" s="10" t="inlineStr">
        <is>
          <t>The Junction</t>
        </is>
      </c>
      <c r="E358" s="10" t="inlineStr">
        <is>
          <t>Restaurant</t>
        </is>
      </c>
      <c r="F358" s="10" t="inlineStr">
        <is>
          <t>Turkish</t>
        </is>
      </c>
      <c r="G358" s="10" t="inlineStr">
        <is>
          <t>23 St Johns Rd</t>
        </is>
      </c>
      <c r="H358" s="12" t="inlineStr">
        <is>
          <t>https://www.lokumeats.com/</t>
        </is>
      </c>
      <c r="I358" s="12" t="inlineStr">
        <is>
          <t>@lokumeats</t>
        </is>
      </c>
      <c r="J358" s="10" t="inlineStr">
        <is>
          <t>437-981-7626</t>
        </is>
      </c>
      <c r="K358" s="10" t="inlineStr"/>
      <c r="L358" s="13" t="inlineStr">
        <is>
          <t>Turkish home cooking and manti, takes reservations.</t>
        </is>
      </c>
      <c r="M358" s="10" t="inlineStr">
        <is>
          <t>Not checked</t>
        </is>
      </c>
      <c r="N358" s="10" t="inlineStr">
        <is>
          <t>Target</t>
        </is>
      </c>
      <c r="S358" s="14" t="n"/>
      <c r="U358" s="14" t="n"/>
      <c r="X358" s="13" t="inlineStr"/>
      <c r="Y358" s="12" t="inlineStr">
        <is>
          <t>https://www.lokumeats.com/</t>
        </is>
      </c>
    </row>
    <row r="359">
      <c r="A359" s="10" t="n">
        <v>358</v>
      </c>
      <c r="B359" s="10" t="n">
        <v>2</v>
      </c>
      <c r="C359" s="11" t="inlineStr">
        <is>
          <t>Momotaro Sushi</t>
        </is>
      </c>
      <c r="D359" s="10" t="inlineStr">
        <is>
          <t>The Junction</t>
        </is>
      </c>
      <c r="E359" s="10" t="inlineStr">
        <is>
          <t>Restaurant</t>
        </is>
      </c>
      <c r="F359" s="10" t="inlineStr">
        <is>
          <t>Japanese, sushi</t>
        </is>
      </c>
      <c r="G359" s="10" t="inlineStr">
        <is>
          <t>2911 Dundas St W</t>
        </is>
      </c>
      <c r="H359" s="12" t="inlineStr">
        <is>
          <t>https://momotarosushi.ca/</t>
        </is>
      </c>
      <c r="I359" s="12" t="inlineStr">
        <is>
          <t>@momotarosushitoronto</t>
        </is>
      </c>
      <c r="J359" s="10" t="inlineStr"/>
      <c r="K359" s="10" t="inlineStr"/>
      <c r="L359" s="13" t="inlineStr">
        <is>
          <t>Neighbourhood sushi room, an easy second-roll or second-main offer.</t>
        </is>
      </c>
      <c r="M359" s="10" t="inlineStr">
        <is>
          <t>Not checked</t>
        </is>
      </c>
      <c r="N359" s="10" t="inlineStr">
        <is>
          <t>Target</t>
        </is>
      </c>
      <c r="S359" s="14" t="n"/>
      <c r="U359" s="14" t="n"/>
      <c r="X359" s="13" t="inlineStr"/>
      <c r="Y359" s="12" t="inlineStr">
        <is>
          <t>https://momotarosushi.ca/</t>
        </is>
      </c>
    </row>
    <row r="360">
      <c r="A360" s="10" t="n">
        <v>359</v>
      </c>
      <c r="B360" s="10" t="n">
        <v>2</v>
      </c>
      <c r="C360" s="11" t="inlineStr">
        <is>
          <t>Nodo Junction</t>
        </is>
      </c>
      <c r="D360" s="10" t="inlineStr">
        <is>
          <t>The Junction</t>
        </is>
      </c>
      <c r="E360" s="10" t="inlineStr">
        <is>
          <t>Restaurant</t>
        </is>
      </c>
      <c r="F360" s="10" t="inlineStr">
        <is>
          <t>Italian</t>
        </is>
      </c>
      <c r="G360" s="10" t="inlineStr">
        <is>
          <t>2885 Dundas St W</t>
        </is>
      </c>
      <c r="H360" s="12" t="inlineStr">
        <is>
          <t>https://www.nodorestaurant.ca/</t>
        </is>
      </c>
      <c r="I360" s="10" t="inlineStr"/>
      <c r="J360" s="10" t="inlineStr">
        <is>
          <t>416-901-1559</t>
        </is>
      </c>
      <c r="K360" s="10" t="inlineStr"/>
      <c r="L360" s="13" t="inlineStr">
        <is>
          <t>Neighbourhood Italian with reservations, part of a small local group.</t>
        </is>
      </c>
      <c r="M360" s="10" t="inlineStr">
        <is>
          <t>Not checked</t>
        </is>
      </c>
      <c r="N360" s="10" t="inlineStr">
        <is>
          <t>Target</t>
        </is>
      </c>
      <c r="S360" s="14" t="n"/>
      <c r="U360" s="14" t="n"/>
      <c r="X360" s="13" t="inlineStr">
        <is>
          <t>Check it's open before visiting: weak online evidence.</t>
        </is>
      </c>
      <c r="Y360" s="12" t="inlineStr">
        <is>
          <t>https://www.nodorestaurant.ca/</t>
        </is>
      </c>
    </row>
    <row r="361">
      <c r="A361" s="10" t="n">
        <v>360</v>
      </c>
      <c r="B361" s="10" t="n">
        <v>2</v>
      </c>
      <c r="C361" s="11" t="inlineStr">
        <is>
          <t>Profound Pizza</t>
        </is>
      </c>
      <c r="D361" s="10" t="inlineStr">
        <is>
          <t>The Junction</t>
        </is>
      </c>
      <c r="E361" s="10" t="inlineStr">
        <is>
          <t>Restaurant</t>
        </is>
      </c>
      <c r="F361" s="10" t="inlineStr">
        <is>
          <t>Pizza (Detroit-style)</t>
        </is>
      </c>
      <c r="G361" s="10" t="inlineStr">
        <is>
          <t>108 Vine Ave</t>
        </is>
      </c>
      <c r="H361" s="12" t="inlineStr">
        <is>
          <t>https://www.profoundpizza.com/</t>
        </is>
      </c>
      <c r="I361" s="12" t="inlineStr">
        <is>
          <t>@profound.pizza</t>
        </is>
      </c>
      <c r="J361" s="10" t="inlineStr">
        <is>
          <t>647-515-5704</t>
        </is>
      </c>
      <c r="K361" s="10" t="inlineStr"/>
      <c r="L361" s="13" t="inlineStr">
        <is>
          <t>Sourdough Detroit-style pizzeria, simple two-for-one mechanics.</t>
        </is>
      </c>
      <c r="M361" s="10" t="inlineStr">
        <is>
          <t>Not checked</t>
        </is>
      </c>
      <c r="N361" s="10" t="inlineStr">
        <is>
          <t>Target</t>
        </is>
      </c>
      <c r="S361" s="14" t="n"/>
      <c r="U361" s="14" t="n"/>
      <c r="X361" s="13" t="inlineStr"/>
      <c r="Y361" s="12" t="inlineStr">
        <is>
          <t>https://www.profoundpizza.com/</t>
        </is>
      </c>
    </row>
    <row r="362">
      <c r="A362" s="10" t="n">
        <v>361</v>
      </c>
      <c r="B362" s="10" t="n">
        <v>2</v>
      </c>
      <c r="C362" s="11" t="inlineStr">
        <is>
          <t>Tumi Dumpling House</t>
        </is>
      </c>
      <c r="D362" s="10" t="inlineStr">
        <is>
          <t>The Junction</t>
        </is>
      </c>
      <c r="E362" s="10" t="inlineStr">
        <is>
          <t>Restaurant</t>
        </is>
      </c>
      <c r="F362" s="10" t="inlineStr">
        <is>
          <t>Chinese, Sichuan</t>
        </is>
      </c>
      <c r="G362" s="10" t="inlineStr">
        <is>
          <t>2904 Dundas St W</t>
        </is>
      </c>
      <c r="H362" s="12" t="inlineStr">
        <is>
          <t>https://moonfold.ca/</t>
        </is>
      </c>
      <c r="I362" s="10" t="inlineStr"/>
      <c r="J362" s="10" t="inlineStr">
        <is>
          <t>416-532-8762</t>
        </is>
      </c>
      <c r="K362" s="10" t="inlineStr"/>
      <c r="L362" s="13" t="inlineStr">
        <is>
          <t>Handmade dumplings and Sichuan dishes, good for a weeknight pair.</t>
        </is>
      </c>
      <c r="M362" s="10" t="inlineStr">
        <is>
          <t>Not checked</t>
        </is>
      </c>
      <c r="N362" s="10" t="inlineStr">
        <is>
          <t>Target</t>
        </is>
      </c>
      <c r="S362" s="14" t="n"/>
      <c r="U362" s="14" t="n"/>
      <c r="X362" s="13" t="inlineStr"/>
      <c r="Y362" s="12" t="inlineStr">
        <is>
          <t>https://moonfold.ca/</t>
        </is>
      </c>
    </row>
    <row r="363">
      <c r="A363" s="10" t="n">
        <v>362</v>
      </c>
      <c r="B363" s="10" t="n">
        <v>2</v>
      </c>
      <c r="C363" s="11" t="inlineStr">
        <is>
          <t>Venga Cucina</t>
        </is>
      </c>
      <c r="D363" s="10" t="inlineStr">
        <is>
          <t>The Junction</t>
        </is>
      </c>
      <c r="E363" s="10" t="inlineStr">
        <is>
          <t>Restaurant</t>
        </is>
      </c>
      <c r="F363" s="10" t="inlineStr">
        <is>
          <t>Italian</t>
        </is>
      </c>
      <c r="G363" s="10" t="inlineStr">
        <is>
          <t>3076 Dundas St W</t>
        </is>
      </c>
      <c r="H363" s="12" t="inlineStr">
        <is>
          <t>https://www.vengacucina.ca/</t>
        </is>
      </c>
      <c r="I363" s="12" t="inlineStr">
        <is>
          <t>@vengacucina</t>
        </is>
      </c>
      <c r="J363" s="10" t="inlineStr">
        <is>
          <t>416-766-3841</t>
        </is>
      </c>
      <c r="K363" s="10" t="inlineStr"/>
      <c r="L363" s="13" t="inlineStr">
        <is>
          <t>Local Italian kitchen suited to a second-pasta offer.</t>
        </is>
      </c>
      <c r="M363" s="10" t="inlineStr">
        <is>
          <t>Not checked</t>
        </is>
      </c>
      <c r="N363" s="10" t="inlineStr">
        <is>
          <t>Target</t>
        </is>
      </c>
      <c r="S363" s="14" t="n"/>
      <c r="U363" s="14" t="n"/>
      <c r="X363" s="13" t="inlineStr"/>
      <c r="Y363" s="12" t="inlineStr">
        <is>
          <t>https://www.vengacucina.ca/</t>
        </is>
      </c>
    </row>
    <row r="364">
      <c r="A364" s="10" t="n">
        <v>363</v>
      </c>
      <c r="B364" s="10" t="n">
        <v>2</v>
      </c>
      <c r="C364" s="11" t="inlineStr">
        <is>
          <t>Cabacoa</t>
        </is>
      </c>
      <c r="D364" s="10" t="inlineStr">
        <is>
          <t>St. Clair West</t>
        </is>
      </c>
      <c r="E364" s="10" t="inlineStr">
        <is>
          <t>Restaurant</t>
        </is>
      </c>
      <c r="F364" s="10" t="inlineStr">
        <is>
          <t>Dominican</t>
        </is>
      </c>
      <c r="G364" s="10" t="inlineStr">
        <is>
          <t>1157 St Clair Ave W</t>
        </is>
      </c>
      <c r="H364" s="12" t="inlineStr">
        <is>
          <t>https://www.cabacoa.com/</t>
        </is>
      </c>
      <c r="I364" s="12" t="inlineStr">
        <is>
          <t>@cabacoacafe</t>
        </is>
      </c>
      <c r="J364" s="10" t="inlineStr">
        <is>
          <t>416-410-1118</t>
        </is>
      </c>
      <c r="K364" s="10" t="inlineStr"/>
      <c r="L364" s="13" t="inlineStr">
        <is>
          <t>Dominican kitchen and café, a distinctive find for members.</t>
        </is>
      </c>
      <c r="M364" s="10" t="inlineStr">
        <is>
          <t>Not checked</t>
        </is>
      </c>
      <c r="N364" s="10" t="inlineStr">
        <is>
          <t>Target</t>
        </is>
      </c>
      <c r="S364" s="14" t="n"/>
      <c r="U364" s="14" t="n"/>
      <c r="X364" s="13" t="inlineStr"/>
      <c r="Y364" s="12" t="inlineStr">
        <is>
          <t>https://www.cabacoa.com/</t>
        </is>
      </c>
    </row>
    <row r="365">
      <c r="A365" s="10" t="n">
        <v>364</v>
      </c>
      <c r="B365" s="10" t="n">
        <v>2</v>
      </c>
      <c r="C365" s="11" t="inlineStr">
        <is>
          <t>Cano</t>
        </is>
      </c>
      <c r="D365" s="10" t="inlineStr">
        <is>
          <t>St. Clair West</t>
        </is>
      </c>
      <c r="E365" s="10" t="inlineStr">
        <is>
          <t>Restaurant</t>
        </is>
      </c>
      <c r="F365" s="10" t="inlineStr">
        <is>
          <t>Italian</t>
        </is>
      </c>
      <c r="G365" s="10" t="inlineStr">
        <is>
          <t>1108 St Clair Ave W</t>
        </is>
      </c>
      <c r="H365" s="12" t="inlineStr">
        <is>
          <t>https://canorestaurant.com/</t>
        </is>
      </c>
      <c r="I365" s="12" t="inlineStr">
        <is>
          <t>@canorestaurant</t>
        </is>
      </c>
      <c r="J365" s="10" t="inlineStr">
        <is>
          <t>416-901-3655</t>
        </is>
      </c>
      <c r="K365" s="10" t="inlineStr"/>
      <c r="L365" s="13" t="inlineStr">
        <is>
          <t>Italian dinner room with weekend lunch, books on OpenTable.</t>
        </is>
      </c>
      <c r="M365" s="10" t="inlineStr">
        <is>
          <t>Not checked</t>
        </is>
      </c>
      <c r="N365" s="10" t="inlineStr">
        <is>
          <t>Target</t>
        </is>
      </c>
      <c r="S365" s="14" t="n"/>
      <c r="U365" s="14" t="n"/>
      <c r="X365" s="13" t="inlineStr"/>
      <c r="Y365" s="12" t="inlineStr">
        <is>
          <t>https://canorestaurant.com/</t>
        </is>
      </c>
    </row>
    <row r="366">
      <c r="A366" s="10" t="n">
        <v>365</v>
      </c>
      <c r="B366" s="10" t="n">
        <v>2</v>
      </c>
      <c r="C366" s="11" t="inlineStr">
        <is>
          <t>Ferro Bar Cafe</t>
        </is>
      </c>
      <c r="D366" s="10" t="inlineStr">
        <is>
          <t>St. Clair West</t>
        </is>
      </c>
      <c r="E366" s="10" t="inlineStr">
        <is>
          <t>Restaurant</t>
        </is>
      </c>
      <c r="F366" s="10" t="inlineStr">
        <is>
          <t>Southern Italian</t>
        </is>
      </c>
      <c r="G366" s="10" t="inlineStr">
        <is>
          <t>769 St Clair Ave W</t>
        </is>
      </c>
      <c r="H366" s="12" t="inlineStr">
        <is>
          <t>https://www.ferrobarcafe.ca/</t>
        </is>
      </c>
      <c r="I366" s="12" t="inlineStr">
        <is>
          <t>@ferrobarcafe</t>
        </is>
      </c>
      <c r="J366" s="10" t="inlineStr">
        <is>
          <t>416-654-9119</t>
        </is>
      </c>
      <c r="K366" s="10" t="inlineStr"/>
      <c r="L366" s="13" t="inlineStr">
        <is>
          <t>Long-running Italian spot across from The Rushton.</t>
        </is>
      </c>
      <c r="M366" s="10" t="inlineStr">
        <is>
          <t>Not checked</t>
        </is>
      </c>
      <c r="N366" s="10" t="inlineStr">
        <is>
          <t>Target</t>
        </is>
      </c>
      <c r="S366" s="14" t="n"/>
      <c r="U366" s="14" t="n"/>
      <c r="X366" s="13" t="inlineStr"/>
      <c r="Y366" s="12" t="inlineStr">
        <is>
          <t>https://www.ferrobarcafe.ca/</t>
        </is>
      </c>
    </row>
    <row r="367">
      <c r="A367" s="10" t="n">
        <v>366</v>
      </c>
      <c r="B367" s="10" t="n">
        <v>2</v>
      </c>
      <c r="C367" s="11" t="inlineStr">
        <is>
          <t>FK</t>
        </is>
      </c>
      <c r="D367" s="10" t="inlineStr">
        <is>
          <t>St. Clair West</t>
        </is>
      </c>
      <c r="E367" s="10" t="inlineStr">
        <is>
          <t>Restaurant</t>
        </is>
      </c>
      <c r="F367" s="10" t="inlineStr">
        <is>
          <t>Contemporary</t>
        </is>
      </c>
      <c r="G367" s="10" t="inlineStr">
        <is>
          <t>770 St Clair Ave W</t>
        </is>
      </c>
      <c r="H367" s="12" t="inlineStr">
        <is>
          <t>https://www.fkrestauranttoronto.com/</t>
        </is>
      </c>
      <c r="I367" s="12" t="inlineStr">
        <is>
          <t>@fkrestaurant</t>
        </is>
      </c>
      <c r="J367" s="10" t="inlineStr">
        <is>
          <t>416-551-9731</t>
        </is>
      </c>
      <c r="K367" s="10" t="inlineStr">
        <is>
          <t>Special occasion (Michelin)</t>
        </is>
      </c>
      <c r="L367" s="13" t="inlineStr">
        <is>
          <t>Michelin-listed chef-driven room, a top premium target.</t>
        </is>
      </c>
      <c r="M367" s="10" t="inlineStr">
        <is>
          <t>Not checked</t>
        </is>
      </c>
      <c r="N367" s="10" t="inlineStr">
        <is>
          <t>Target</t>
        </is>
      </c>
      <c r="S367" s="14" t="n"/>
      <c r="U367" s="14" t="n"/>
      <c r="X367" s="13" t="inlineStr"/>
      <c r="Y367" s="12" t="inlineStr">
        <is>
          <t>https://guide.michelin.com/ca/en/ontario/toronto/restaurant/fk</t>
        </is>
      </c>
    </row>
    <row r="368">
      <c r="A368" s="10" t="n">
        <v>367</v>
      </c>
      <c r="B368" s="10" t="n">
        <v>2</v>
      </c>
      <c r="C368" s="11" t="inlineStr">
        <is>
          <t>Kosh</t>
        </is>
      </c>
      <c r="D368" s="10" t="inlineStr">
        <is>
          <t>St. Clair West</t>
        </is>
      </c>
      <c r="E368" s="10" t="inlineStr">
        <is>
          <t>Restaurant</t>
        </is>
      </c>
      <c r="F368" s="10" t="inlineStr">
        <is>
          <t>Kosher</t>
        </is>
      </c>
      <c r="G368" s="10" t="inlineStr">
        <is>
          <t>1036 St Clair Ave W</t>
        </is>
      </c>
      <c r="H368" s="12" t="inlineStr">
        <is>
          <t>https://koshchai.com/</t>
        </is>
      </c>
      <c r="I368" s="10" t="inlineStr"/>
      <c r="J368" s="10" t="inlineStr">
        <is>
          <t>416-652-6000</t>
        </is>
      </c>
      <c r="K368" s="10" t="inlineStr"/>
      <c r="L368" s="13" t="inlineStr">
        <is>
          <t>Kosher meat restaurant by reservation, with a dairy café next door.</t>
        </is>
      </c>
      <c r="M368" s="10" t="inlineStr">
        <is>
          <t>Not checked</t>
        </is>
      </c>
      <c r="N368" s="10" t="inlineStr">
        <is>
          <t>Target</t>
        </is>
      </c>
      <c r="S368" s="14" t="n"/>
      <c r="U368" s="14" t="n"/>
      <c r="X368" s="13" t="inlineStr"/>
      <c r="Y368" s="12" t="inlineStr">
        <is>
          <t>https://koshchai.com/</t>
        </is>
      </c>
    </row>
    <row r="369">
      <c r="A369" s="10" t="n">
        <v>368</v>
      </c>
      <c r="B369" s="10" t="n">
        <v>2</v>
      </c>
      <c r="C369" s="11" t="inlineStr">
        <is>
          <t>Nodo Hillcrest</t>
        </is>
      </c>
      <c r="D369" s="10" t="inlineStr">
        <is>
          <t>St. Clair West</t>
        </is>
      </c>
      <c r="E369" s="10" t="inlineStr">
        <is>
          <t>Restaurant</t>
        </is>
      </c>
      <c r="F369" s="10" t="inlineStr">
        <is>
          <t>Italian</t>
        </is>
      </c>
      <c r="G369" s="10" t="inlineStr">
        <is>
          <t>794 St Clair Ave W</t>
        </is>
      </c>
      <c r="H369" s="12" t="inlineStr">
        <is>
          <t>https://www.nodorestaurant.ca/</t>
        </is>
      </c>
      <c r="I369" s="10" t="inlineStr"/>
      <c r="J369" s="10" t="inlineStr">
        <is>
          <t>647-748-1559</t>
        </is>
      </c>
      <c r="K369" s="10" t="inlineStr"/>
      <c r="L369" s="13" t="inlineStr">
        <is>
          <t>Casual Italian in Hillcrest Village, part of a small local group.</t>
        </is>
      </c>
      <c r="M369" s="10" t="inlineStr">
        <is>
          <t>Not checked</t>
        </is>
      </c>
      <c r="N369" s="10" t="inlineStr">
        <is>
          <t>Target</t>
        </is>
      </c>
      <c r="S369" s="14" t="n"/>
      <c r="U369" s="14" t="n"/>
      <c r="X369" s="13" t="inlineStr">
        <is>
          <t>Check it's open before visiting: weak online evidence.</t>
        </is>
      </c>
      <c r="Y369" s="12" t="inlineStr">
        <is>
          <t>https://www.nodorestaurant.ca/</t>
        </is>
      </c>
    </row>
    <row r="370">
      <c r="A370" s="10" t="n">
        <v>369</v>
      </c>
      <c r="B370" s="10" t="n">
        <v>2</v>
      </c>
      <c r="C370" s="11" t="inlineStr">
        <is>
          <t>Pukka</t>
        </is>
      </c>
      <c r="D370" s="10" t="inlineStr">
        <is>
          <t>St. Clair West</t>
        </is>
      </c>
      <c r="E370" s="10" t="inlineStr">
        <is>
          <t>Restaurant</t>
        </is>
      </c>
      <c r="F370" s="10" t="inlineStr">
        <is>
          <t>Indian</t>
        </is>
      </c>
      <c r="G370" s="10" t="inlineStr">
        <is>
          <t>778 St Clair Ave W</t>
        </is>
      </c>
      <c r="H370" s="12" t="inlineStr">
        <is>
          <t>https://pukka.ca/</t>
        </is>
      </c>
      <c r="I370" s="12" t="inlineStr">
        <is>
          <t>@pukkatoronto</t>
        </is>
      </c>
      <c r="J370" s="10" t="inlineStr">
        <is>
          <t>416-342-1906</t>
        </is>
      </c>
      <c r="K370" s="10" t="inlineStr"/>
      <c r="L370" s="13" t="inlineStr">
        <is>
          <t>Upscale Indian with a strong wine list.</t>
        </is>
      </c>
      <c r="M370" s="10" t="inlineStr">
        <is>
          <t>Not checked</t>
        </is>
      </c>
      <c r="N370" s="10" t="inlineStr">
        <is>
          <t>Target</t>
        </is>
      </c>
      <c r="S370" s="14" t="n"/>
      <c r="U370" s="14" t="n"/>
      <c r="X370" s="13" t="inlineStr"/>
      <c r="Y370" s="12" t="inlineStr">
        <is>
          <t>https://pukka.ca/</t>
        </is>
      </c>
    </row>
    <row r="371">
      <c r="A371" s="10" t="n">
        <v>370</v>
      </c>
      <c r="B371" s="10" t="n">
        <v>2</v>
      </c>
      <c r="C371" s="11" t="inlineStr">
        <is>
          <t>Pura Vida</t>
        </is>
      </c>
      <c r="D371" s="10" t="inlineStr">
        <is>
          <t>St. Clair West</t>
        </is>
      </c>
      <c r="E371" s="10" t="inlineStr">
        <is>
          <t>Restaurant</t>
        </is>
      </c>
      <c r="F371" s="10" t="inlineStr">
        <is>
          <t>Latin American</t>
        </is>
      </c>
      <c r="G371" s="10" t="inlineStr">
        <is>
          <t>730 St Clair Ave W</t>
        </is>
      </c>
      <c r="H371" s="12" t="inlineStr">
        <is>
          <t>https://puravidato.ca/</t>
        </is>
      </c>
      <c r="I371" s="12" t="inlineStr">
        <is>
          <t>@puravidarestaurantto</t>
        </is>
      </c>
      <c r="J371" s="10" t="inlineStr">
        <is>
          <t>416-651-5888</t>
        </is>
      </c>
      <c r="K371" s="10" t="inlineStr"/>
      <c r="L371" s="13" t="inlineStr">
        <is>
          <t>Latin American restaurant that runs regular guest promotions.</t>
        </is>
      </c>
      <c r="M371" s="10" t="inlineStr">
        <is>
          <t>Not checked</t>
        </is>
      </c>
      <c r="N371" s="10" t="inlineStr">
        <is>
          <t>Target</t>
        </is>
      </c>
      <c r="S371" s="14" t="n"/>
      <c r="U371" s="14" t="n"/>
      <c r="X371" s="13" t="inlineStr"/>
      <c r="Y371" s="12" t="inlineStr">
        <is>
          <t>https://puravidato.ca/</t>
        </is>
      </c>
    </row>
    <row r="372">
      <c r="A372" s="10" t="n">
        <v>371</v>
      </c>
      <c r="B372" s="10" t="n">
        <v>2</v>
      </c>
      <c r="C372" s="11" t="inlineStr">
        <is>
          <t>Raahi Kitchen</t>
        </is>
      </c>
      <c r="D372" s="10" t="inlineStr">
        <is>
          <t>St. Clair West</t>
        </is>
      </c>
      <c r="E372" s="10" t="inlineStr">
        <is>
          <t>Restaurant</t>
        </is>
      </c>
      <c r="F372" s="10" t="inlineStr">
        <is>
          <t>Indian</t>
        </is>
      </c>
      <c r="G372" s="10" t="inlineStr">
        <is>
          <t>543 St Clair Ave W</t>
        </is>
      </c>
      <c r="H372" s="12" t="inlineStr">
        <is>
          <t>https://raahikitchen.com/</t>
        </is>
      </c>
      <c r="I372" s="12" t="inlineStr">
        <is>
          <t>@raahikitchen</t>
        </is>
      </c>
      <c r="J372" s="10" t="inlineStr">
        <is>
          <t>416-658-8582</t>
        </is>
      </c>
      <c r="K372" s="10" t="inlineStr"/>
      <c r="L372" s="13" t="inlineStr">
        <is>
          <t>Chef-led modern Indian with a stylish dining room.</t>
        </is>
      </c>
      <c r="M372" s="10" t="inlineStr">
        <is>
          <t>Not checked</t>
        </is>
      </c>
      <c r="N372" s="10" t="inlineStr">
        <is>
          <t>Target</t>
        </is>
      </c>
      <c r="S372" s="14" t="n"/>
      <c r="U372" s="14" t="n"/>
      <c r="X372" s="13" t="inlineStr"/>
      <c r="Y372" s="12" t="inlineStr">
        <is>
          <t>https://raahikitchen.com/</t>
        </is>
      </c>
    </row>
    <row r="373">
      <c r="A373" s="10" t="n">
        <v>372</v>
      </c>
      <c r="B373" s="10" t="n">
        <v>2</v>
      </c>
      <c r="C373" s="11" t="inlineStr">
        <is>
          <t>Rio 40</t>
        </is>
      </c>
      <c r="D373" s="10" t="inlineStr">
        <is>
          <t>St. Clair West</t>
        </is>
      </c>
      <c r="E373" s="10" t="inlineStr">
        <is>
          <t>Restaurant</t>
        </is>
      </c>
      <c r="F373" s="10" t="inlineStr">
        <is>
          <t>Brazilian</t>
        </is>
      </c>
      <c r="G373" s="10" t="inlineStr">
        <is>
          <t>1256 St Clair Ave W</t>
        </is>
      </c>
      <c r="H373" s="12" t="inlineStr">
        <is>
          <t>https://rio40restaurant.com/</t>
        </is>
      </c>
      <c r="I373" s="10" t="inlineStr"/>
      <c r="J373" s="10" t="inlineStr">
        <is>
          <t>416-654-6363</t>
        </is>
      </c>
      <c r="K373" s="10" t="inlineStr"/>
      <c r="L373" s="13" t="inlineStr">
        <is>
          <t>Brazilian restaurant in Corso Italia, good for groups.</t>
        </is>
      </c>
      <c r="M373" s="10" t="inlineStr">
        <is>
          <t>Not checked</t>
        </is>
      </c>
      <c r="N373" s="10" t="inlineStr">
        <is>
          <t>Target</t>
        </is>
      </c>
      <c r="S373" s="14" t="n"/>
      <c r="U373" s="14" t="n"/>
      <c r="X373" s="13" t="inlineStr"/>
      <c r="Y373" s="12" t="inlineStr">
        <is>
          <t>https://rio40restaurant.com/</t>
        </is>
      </c>
    </row>
    <row r="374">
      <c r="A374" s="10" t="n">
        <v>373</v>
      </c>
      <c r="B374" s="10" t="n">
        <v>2</v>
      </c>
      <c r="C374" s="11" t="inlineStr">
        <is>
          <t>Romi's</t>
        </is>
      </c>
      <c r="D374" s="10" t="inlineStr">
        <is>
          <t>St. Clair West</t>
        </is>
      </c>
      <c r="E374" s="10" t="inlineStr">
        <is>
          <t>Restaurant</t>
        </is>
      </c>
      <c r="F374" s="10" t="inlineStr">
        <is>
          <t>Middle Eastern, bakery</t>
        </is>
      </c>
      <c r="G374" s="10" t="inlineStr">
        <is>
          <t>744 St Clair Ave W</t>
        </is>
      </c>
      <c r="H374" s="12" t="inlineStr">
        <is>
          <t>https://www.romisbakery.com/</t>
        </is>
      </c>
      <c r="I374" s="12" t="inlineStr">
        <is>
          <t>@romis_to</t>
        </is>
      </c>
      <c r="J374" s="10" t="inlineStr">
        <is>
          <t>416-656-1525</t>
        </is>
      </c>
      <c r="K374" s="10" t="inlineStr"/>
      <c r="L374" s="13" t="inlineStr">
        <is>
          <t>Boutique restaurant and bakery in Wychwood.</t>
        </is>
      </c>
      <c r="M374" s="10" t="inlineStr">
        <is>
          <t>Not checked</t>
        </is>
      </c>
      <c r="N374" s="10" t="inlineStr">
        <is>
          <t>Target</t>
        </is>
      </c>
      <c r="S374" s="14" t="n"/>
      <c r="U374" s="14" t="n"/>
      <c r="X374" s="13" t="inlineStr"/>
      <c r="Y374" s="12" t="inlineStr">
        <is>
          <t>https://www.romisbakery.com/</t>
        </is>
      </c>
    </row>
    <row r="375">
      <c r="A375" s="10" t="n">
        <v>374</v>
      </c>
      <c r="B375" s="10" t="n">
        <v>2</v>
      </c>
      <c r="C375" s="11" t="inlineStr">
        <is>
          <t>Rosa's</t>
        </is>
      </c>
      <c r="D375" s="10" t="inlineStr">
        <is>
          <t>St. Clair West</t>
        </is>
      </c>
      <c r="E375" s="10" t="inlineStr">
        <is>
          <t>Restaurant</t>
        </is>
      </c>
      <c r="F375" s="10" t="inlineStr">
        <is>
          <t>Latin American</t>
        </is>
      </c>
      <c r="G375" s="10" t="inlineStr">
        <is>
          <t>1067 St Clair Ave W</t>
        </is>
      </c>
      <c r="H375" s="12" t="inlineStr">
        <is>
          <t>https://www.rosastoronto.com/</t>
        </is>
      </c>
      <c r="I375" s="12" t="inlineStr">
        <is>
          <t>@rosastoronto</t>
        </is>
      </c>
      <c r="J375" s="10" t="inlineStr">
        <is>
          <t>416-653-5151</t>
        </is>
      </c>
      <c r="K375" s="10" t="inlineStr"/>
      <c r="L375" s="13" t="inlineStr">
        <is>
          <t>Modern Latin sharing plates, built for bringing someone.</t>
        </is>
      </c>
      <c r="M375" s="10" t="inlineStr">
        <is>
          <t>Not checked</t>
        </is>
      </c>
      <c r="N375" s="10" t="inlineStr">
        <is>
          <t>Target</t>
        </is>
      </c>
      <c r="S375" s="14" t="n"/>
      <c r="U375" s="14" t="n"/>
      <c r="X375" s="13" t="inlineStr"/>
      <c r="Y375" s="12" t="inlineStr">
        <is>
          <t>https://www.rosastoronto.com/</t>
        </is>
      </c>
    </row>
    <row r="376">
      <c r="A376" s="10" t="n">
        <v>375</v>
      </c>
      <c r="B376" s="10" t="n">
        <v>2</v>
      </c>
      <c r="C376" s="11" t="inlineStr">
        <is>
          <t>Savor Thai</t>
        </is>
      </c>
      <c r="D376" s="10" t="inlineStr">
        <is>
          <t>St. Clair West</t>
        </is>
      </c>
      <c r="E376" s="10" t="inlineStr">
        <is>
          <t>Restaurant</t>
        </is>
      </c>
      <c r="F376" s="10" t="inlineStr">
        <is>
          <t>Thai</t>
        </is>
      </c>
      <c r="G376" s="10" t="inlineStr">
        <is>
          <t>1226 St Clair Ave W</t>
        </is>
      </c>
      <c r="H376" s="12" t="inlineStr">
        <is>
          <t>https://www.savortoronto.ca/</t>
        </is>
      </c>
      <c r="I376" s="12" t="inlineStr">
        <is>
          <t>@savorthaito</t>
        </is>
      </c>
      <c r="J376" s="10" t="inlineStr">
        <is>
          <t>416-410-0303</t>
        </is>
      </c>
      <c r="K376" s="10" t="inlineStr"/>
      <c r="L376" s="13" t="inlineStr">
        <is>
          <t>Thai dining room in Corso Italia, an easy weeknight offer.</t>
        </is>
      </c>
      <c r="M376" s="10" t="inlineStr">
        <is>
          <t>Not checked</t>
        </is>
      </c>
      <c r="N376" s="10" t="inlineStr">
        <is>
          <t>Target</t>
        </is>
      </c>
      <c r="S376" s="14" t="n"/>
      <c r="U376" s="14" t="n"/>
      <c r="X376" s="13" t="inlineStr"/>
      <c r="Y376" s="12" t="inlineStr">
        <is>
          <t>https://www.savortoronto.ca/</t>
        </is>
      </c>
    </row>
    <row r="377">
      <c r="A377" s="10" t="n">
        <v>376</v>
      </c>
      <c r="B377" s="10" t="n">
        <v>2</v>
      </c>
      <c r="C377" s="11" t="inlineStr">
        <is>
          <t>The Rushton</t>
        </is>
      </c>
      <c r="D377" s="10" t="inlineStr">
        <is>
          <t>St. Clair West</t>
        </is>
      </c>
      <c r="E377" s="10" t="inlineStr">
        <is>
          <t>Restaurant</t>
        </is>
      </c>
      <c r="F377" s="10" t="inlineStr">
        <is>
          <t>Bistro</t>
        </is>
      </c>
      <c r="G377" s="10" t="inlineStr">
        <is>
          <t>740 St Clair Ave W</t>
        </is>
      </c>
      <c r="H377" s="12" t="inlineStr">
        <is>
          <t>https://therushton.com/</t>
        </is>
      </c>
      <c r="I377" s="10" t="inlineStr"/>
      <c r="J377" s="10" t="inlineStr">
        <is>
          <t>416-658-7874</t>
        </is>
      </c>
      <c r="K377" s="10" t="inlineStr"/>
      <c r="L377" s="13" t="inlineStr">
        <is>
          <t>The strip's go-to dinner room, strong fit for a premium pass.</t>
        </is>
      </c>
      <c r="M377" s="10" t="inlineStr">
        <is>
          <t>Not checked</t>
        </is>
      </c>
      <c r="N377" s="10" t="inlineStr">
        <is>
          <t>Target</t>
        </is>
      </c>
      <c r="S377" s="14" t="n"/>
      <c r="U377" s="14" t="n"/>
      <c r="X377" s="13" t="inlineStr"/>
      <c r="Y377" s="12" t="inlineStr">
        <is>
          <t>https://therushton.com/</t>
        </is>
      </c>
    </row>
    <row r="378">
      <c r="A378" s="10" t="n">
        <v>377</v>
      </c>
      <c r="B378" s="10" t="n">
        <v>2</v>
      </c>
      <c r="C378" s="11" t="inlineStr">
        <is>
          <t>Solena Brunch &amp; Bar</t>
        </is>
      </c>
      <c r="D378" s="10" t="inlineStr">
        <is>
          <t>St. Clair West</t>
        </is>
      </c>
      <c r="E378" s="10" t="inlineStr">
        <is>
          <t>Brunch</t>
        </is>
      </c>
      <c r="F378" s="10" t="inlineStr">
        <is>
          <t>Mediterranean brunch</t>
        </is>
      </c>
      <c r="G378" s="10" t="inlineStr">
        <is>
          <t>1224 St Clair Ave W</t>
        </is>
      </c>
      <c r="H378" s="12" t="inlineStr">
        <is>
          <t>https://www.solenabrunch.ca/</t>
        </is>
      </c>
      <c r="I378" s="12" t="inlineStr">
        <is>
          <t>@solenabrunch</t>
        </is>
      </c>
      <c r="J378" s="10" t="inlineStr">
        <is>
          <t>416-651-4000</t>
        </is>
      </c>
      <c r="K378" s="10" t="inlineStr">
        <is>
          <t>$$</t>
        </is>
      </c>
      <c r="L378" s="13" t="inlineStr">
        <is>
          <t>New all-day brunch spot in Corso Italia, open from 8 am daily.</t>
        </is>
      </c>
      <c r="M378" s="10" t="inlineStr">
        <is>
          <t>Not checked</t>
        </is>
      </c>
      <c r="N378" s="10" t="inlineStr">
        <is>
          <t>Target</t>
        </is>
      </c>
      <c r="S378" s="14" t="n"/>
      <c r="U378" s="14" t="n"/>
      <c r="X378" s="13" t="inlineStr"/>
      <c r="Y378" s="12" t="inlineStr">
        <is>
          <t>https://www.solenabrunch.ca/</t>
        </is>
      </c>
    </row>
    <row r="379">
      <c r="A379" s="10" t="n">
        <v>378</v>
      </c>
      <c r="B379" s="10" t="n">
        <v>2</v>
      </c>
      <c r="C379" s="11" t="inlineStr">
        <is>
          <t>XO Bisous</t>
        </is>
      </c>
      <c r="D379" s="10" t="inlineStr">
        <is>
          <t>St. Clair West</t>
        </is>
      </c>
      <c r="E379" s="10" t="inlineStr">
        <is>
          <t>Café</t>
        </is>
      </c>
      <c r="F379" s="10" t="inlineStr">
        <is>
          <t>Pastry, BBQ</t>
        </is>
      </c>
      <c r="G379" s="10" t="inlineStr">
        <is>
          <t>572 St Clair Ave W</t>
        </is>
      </c>
      <c r="H379" s="12" t="inlineStr">
        <is>
          <t>https://xobisous.com/</t>
        </is>
      </c>
      <c r="I379" s="12" t="inlineStr">
        <is>
          <t>@xobisous</t>
        </is>
      </c>
      <c r="J379" s="10" t="inlineStr">
        <is>
          <t>416-306-0660</t>
        </is>
      </c>
      <c r="K379" s="10" t="inlineStr"/>
      <c r="L379" s="13" t="inlineStr">
        <is>
          <t>Pastry café now sharing its space with a BBQ partner.</t>
        </is>
      </c>
      <c r="M379" s="10" t="inlineStr">
        <is>
          <t>Not checked</t>
        </is>
      </c>
      <c r="N379" s="10" t="inlineStr">
        <is>
          <t>Target</t>
        </is>
      </c>
      <c r="S379" s="14" t="n"/>
      <c r="U379" s="14" t="n"/>
      <c r="X379" s="13" t="inlineStr"/>
      <c r="Y379" s="12" t="inlineStr">
        <is>
          <t>https://xobisous.com/</t>
        </is>
      </c>
    </row>
    <row r="380">
      <c r="A380" s="10" t="n">
        <v>379</v>
      </c>
      <c r="B380" s="10" t="n">
        <v>2</v>
      </c>
      <c r="C380" s="11" t="inlineStr">
        <is>
          <t>Baker &amp; Scone</t>
        </is>
      </c>
      <c r="D380" s="10" t="inlineStr">
        <is>
          <t>St. Clair West</t>
        </is>
      </c>
      <c r="E380" s="10" t="inlineStr">
        <is>
          <t>Bakery</t>
        </is>
      </c>
      <c r="F380" s="10" t="inlineStr">
        <is>
          <t>Scones, tea</t>
        </is>
      </c>
      <c r="G380" s="10" t="inlineStr">
        <is>
          <t>693 St Clair Ave W</t>
        </is>
      </c>
      <c r="H380" s="12" t="inlineStr">
        <is>
          <t>https://bakerandscone.com/</t>
        </is>
      </c>
      <c r="I380" s="12" t="inlineStr">
        <is>
          <t>@bakerandscone</t>
        </is>
      </c>
      <c r="J380" s="10" t="inlineStr">
        <is>
          <t>416-657-2663</t>
        </is>
      </c>
      <c r="K380" s="10" t="inlineStr"/>
      <c r="L380" s="13" t="inlineStr">
        <is>
          <t>Scone and tea café, suits a free add-on offer.</t>
        </is>
      </c>
      <c r="M380" s="10" t="inlineStr">
        <is>
          <t>Not checked</t>
        </is>
      </c>
      <c r="N380" s="10" t="inlineStr">
        <is>
          <t>Target</t>
        </is>
      </c>
      <c r="S380" s="14" t="n"/>
      <c r="U380" s="14" t="n"/>
      <c r="X380" s="13" t="inlineStr"/>
      <c r="Y380" s="12" t="inlineStr">
        <is>
          <t>https://bakerandscone.com/</t>
        </is>
      </c>
    </row>
    <row r="381">
      <c r="A381" s="10" t="n">
        <v>380</v>
      </c>
      <c r="B381" s="10" t="n">
        <v>2</v>
      </c>
      <c r="C381" s="11" t="inlineStr">
        <is>
          <t>Fleur du Jour</t>
        </is>
      </c>
      <c r="D381" s="10" t="inlineStr">
        <is>
          <t>St. Clair West</t>
        </is>
      </c>
      <c r="E381" s="10" t="inlineStr">
        <is>
          <t>Bakery</t>
        </is>
      </c>
      <c r="F381" s="10" t="inlineStr">
        <is>
          <t>French pastry</t>
        </is>
      </c>
      <c r="G381" s="10" t="inlineStr">
        <is>
          <t>603 St Clair Ave W</t>
        </is>
      </c>
      <c r="H381" s="12" t="inlineStr">
        <is>
          <t>https://www.fleurdujour.ca/</t>
        </is>
      </c>
      <c r="I381" s="12" t="inlineStr">
        <is>
          <t>@fleurdujourpatisserie</t>
        </is>
      </c>
      <c r="J381" s="10" t="inlineStr">
        <is>
          <t>416-652-2562</t>
        </is>
      </c>
      <c r="K381" s="10" t="inlineStr"/>
      <c r="L381" s="13" t="inlineStr">
        <is>
          <t>Made-from-scratch French patisserie with daytime hours.</t>
        </is>
      </c>
      <c r="M381" s="10" t="inlineStr">
        <is>
          <t>Not checked</t>
        </is>
      </c>
      <c r="N381" s="10" t="inlineStr">
        <is>
          <t>Target</t>
        </is>
      </c>
      <c r="S381" s="14" t="n"/>
      <c r="U381" s="14" t="n"/>
      <c r="X381" s="13" t="inlineStr"/>
      <c r="Y381" s="12" t="inlineStr">
        <is>
          <t>https://www.fleurdujour.ca/</t>
        </is>
      </c>
    </row>
    <row r="382">
      <c r="A382" s="10" t="n">
        <v>381</v>
      </c>
      <c r="B382" s="10" t="n">
        <v>2</v>
      </c>
      <c r="C382" s="11" t="inlineStr">
        <is>
          <t>Shelíss Bakeshop</t>
        </is>
      </c>
      <c r="D382" s="10" t="inlineStr">
        <is>
          <t>St. Clair West</t>
        </is>
      </c>
      <c r="E382" s="10" t="inlineStr">
        <is>
          <t>Bakery</t>
        </is>
      </c>
      <c r="F382" s="10" t="inlineStr">
        <is>
          <t>Mexican bakery</t>
        </is>
      </c>
      <c r="G382" s="10" t="inlineStr">
        <is>
          <t>1154 St Clair Ave W, Unit C</t>
        </is>
      </c>
      <c r="H382" s="12" t="inlineStr">
        <is>
          <t>https://sheliss.com/</t>
        </is>
      </c>
      <c r="I382" s="10" t="inlineStr"/>
      <c r="J382" s="10" t="inlineStr"/>
      <c r="K382" s="10" t="inlineStr"/>
      <c r="L382" s="13" t="inlineStr">
        <is>
          <t>Mexican bakeshop with seasonal specials, good for an add-on offer.</t>
        </is>
      </c>
      <c r="M382" s="10" t="inlineStr">
        <is>
          <t>Not checked</t>
        </is>
      </c>
      <c r="N382" s="10" t="inlineStr">
        <is>
          <t>Target</t>
        </is>
      </c>
      <c r="S382" s="14" t="n"/>
      <c r="U382" s="14" t="n"/>
      <c r="X382" s="13" t="inlineStr">
        <is>
          <t>Check it's open before visiting: weak online evidence.</t>
        </is>
      </c>
      <c r="Y382" s="12" t="inlineStr">
        <is>
          <t>https://sheliss.com/</t>
        </is>
      </c>
    </row>
    <row r="383">
      <c r="A383" s="10" t="n">
        <v>382</v>
      </c>
      <c r="B383" s="10" t="n">
        <v>2</v>
      </c>
      <c r="C383" s="11" t="inlineStr">
        <is>
          <t>Archeo</t>
        </is>
      </c>
      <c r="D383" s="10" t="inlineStr">
        <is>
          <t>Distillery and Corktown</t>
        </is>
      </c>
      <c r="E383" s="10" t="inlineStr">
        <is>
          <t>Restaurant</t>
        </is>
      </c>
      <c r="F383" s="10" t="inlineStr">
        <is>
          <t>Italian</t>
        </is>
      </c>
      <c r="G383" s="10" t="inlineStr">
        <is>
          <t>31 Trinity St, Toronto, ON</t>
        </is>
      </c>
      <c r="H383" s="10" t="inlineStr">
        <is>
          <t>archeo.ca</t>
        </is>
      </c>
      <c r="I383" s="10" t="inlineStr"/>
      <c r="J383" s="10" t="inlineStr"/>
      <c r="K383" s="10" t="inlineStr"/>
      <c r="L383" s="13" t="inlineStr">
        <is>
          <t>Casual Italian in the Distillery; confirm it is still open before reaching out.</t>
        </is>
      </c>
      <c r="M383" s="10" t="inlineStr">
        <is>
          <t>Not checked</t>
        </is>
      </c>
      <c r="N383" s="10" t="inlineStr">
        <is>
          <t>Target</t>
        </is>
      </c>
      <c r="S383" s="14" t="n"/>
      <c r="U383" s="14" t="n"/>
      <c r="X383" s="13" t="inlineStr">
        <is>
          <t>Check it's open before visiting: weak online evidence.</t>
        </is>
      </c>
      <c r="Y383" s="12" t="inlineStr">
        <is>
          <t>https://diaryofatorontogirl.com/distillery-district-restaurants/</t>
        </is>
      </c>
    </row>
    <row r="384">
      <c r="A384" s="10" t="n">
        <v>383</v>
      </c>
      <c r="B384" s="10" t="n">
        <v>2</v>
      </c>
      <c r="C384" s="11" t="inlineStr">
        <is>
          <t>BOKU Japanese Eats + Drinks</t>
        </is>
      </c>
      <c r="D384" s="10" t="inlineStr">
        <is>
          <t>Distillery and Corktown</t>
        </is>
      </c>
      <c r="E384" s="10" t="inlineStr">
        <is>
          <t>Restaurant</t>
        </is>
      </c>
      <c r="F384" s="10" t="inlineStr">
        <is>
          <t>Japanese (ramen, sushi)</t>
        </is>
      </c>
      <c r="G384" s="10" t="inlineStr">
        <is>
          <t>42 Gristmill Lane, Toronto, ON</t>
        </is>
      </c>
      <c r="H384" s="10" t="inlineStr">
        <is>
          <t>bokurestaurant.com</t>
        </is>
      </c>
      <c r="I384" s="12" t="inlineStr">
        <is>
          <t>@bokutoronto</t>
        </is>
      </c>
      <c r="J384" s="10" t="inlineStr"/>
      <c r="K384" s="10" t="inlineStr"/>
      <c r="L384" s="13" t="inlineStr">
        <is>
          <t>Two-location ramen spot that fits a casual bring-a-friend offer.</t>
        </is>
      </c>
      <c r="M384" s="10" t="inlineStr">
        <is>
          <t>Not checked</t>
        </is>
      </c>
      <c r="N384" s="10" t="inlineStr">
        <is>
          <t>Target</t>
        </is>
      </c>
      <c r="S384" s="14" t="n"/>
      <c r="U384" s="14" t="n"/>
      <c r="X384" s="13" t="inlineStr"/>
      <c r="Y384" s="12" t="inlineStr">
        <is>
          <t>https://diaryofatorontogirl.com/distillery-district-restaurants/</t>
        </is>
      </c>
    </row>
    <row r="385">
      <c r="A385" s="10" t="n">
        <v>384</v>
      </c>
      <c r="B385" s="10" t="n">
        <v>2</v>
      </c>
      <c r="C385" s="11" t="inlineStr">
        <is>
          <t>Cluny Bistro &amp; Boulangerie</t>
        </is>
      </c>
      <c r="D385" s="10" t="inlineStr">
        <is>
          <t>Distillery and Corktown</t>
        </is>
      </c>
      <c r="E385" s="10" t="inlineStr">
        <is>
          <t>Restaurant</t>
        </is>
      </c>
      <c r="F385" s="10" t="inlineStr">
        <is>
          <t>French bistro</t>
        </is>
      </c>
      <c r="G385" s="10" t="inlineStr">
        <is>
          <t>35 Tank House Lane, Toronto, ON M5A 3C4</t>
        </is>
      </c>
      <c r="H385" s="10" t="inlineStr">
        <is>
          <t>clunybistro.com</t>
        </is>
      </c>
      <c r="I385" s="12" t="inlineStr">
        <is>
          <t>@clunydistillery</t>
        </is>
      </c>
      <c r="J385" s="10" t="inlineStr">
        <is>
          <t>416-203-2632</t>
        </is>
      </c>
      <c r="K385" s="10" t="inlineStr"/>
      <c r="L385" s="13" t="inlineStr">
        <is>
          <t>Busy French bistro with an attached café, so a main or pastry offer could work.</t>
        </is>
      </c>
      <c r="M385" s="10" t="inlineStr">
        <is>
          <t>Not checked</t>
        </is>
      </c>
      <c r="N385" s="10" t="inlineStr">
        <is>
          <t>Target</t>
        </is>
      </c>
      <c r="S385" s="14" t="n"/>
      <c r="U385" s="14" t="n"/>
      <c r="X385" s="13" t="inlineStr"/>
      <c r="Y385" s="12" t="inlineStr">
        <is>
          <t>https://www.opentable.ca/neighborhood/toronto/distillery-district-restaurants</t>
        </is>
      </c>
    </row>
    <row r="386">
      <c r="A386" s="10" t="n">
        <v>385</v>
      </c>
      <c r="B386" s="10" t="n">
        <v>2</v>
      </c>
      <c r="C386" s="11" t="inlineStr">
        <is>
          <t>El Catrin Destileria</t>
        </is>
      </c>
      <c r="D386" s="10" t="inlineStr">
        <is>
          <t>Distillery and Corktown</t>
        </is>
      </c>
      <c r="E386" s="10" t="inlineStr">
        <is>
          <t>Restaurant</t>
        </is>
      </c>
      <c r="F386" s="10" t="inlineStr">
        <is>
          <t>Mexican</t>
        </is>
      </c>
      <c r="G386" s="10" t="inlineStr">
        <is>
          <t>18 Tank House Lane, Toronto, ON M5A 3C4</t>
        </is>
      </c>
      <c r="H386" s="10" t="inlineStr">
        <is>
          <t>elcatrin.ca</t>
        </is>
      </c>
      <c r="I386" s="12" t="inlineStr">
        <is>
          <t>@elcatrinca</t>
        </is>
      </c>
      <c r="J386" s="10" t="inlineStr">
        <is>
          <t>416-203-2121</t>
        </is>
      </c>
      <c r="K386" s="10" t="inlineStr"/>
      <c r="L386" s="13" t="inlineStr">
        <is>
          <t>Big patio landmark with heavy visitor traffic, good for a shared plates offer.</t>
        </is>
      </c>
      <c r="M386" s="10" t="inlineStr">
        <is>
          <t>Not checked</t>
        </is>
      </c>
      <c r="N386" s="10" t="inlineStr">
        <is>
          <t>Target</t>
        </is>
      </c>
      <c r="S386" s="14" t="n"/>
      <c r="U386" s="14" t="n"/>
      <c r="X386" s="13" t="inlineStr"/>
      <c r="Y386" s="12" t="inlineStr">
        <is>
          <t>https://www.opentable.ca/neighborhood/toronto/distillery-district-restaurants</t>
        </is>
      </c>
    </row>
    <row r="387">
      <c r="A387" s="10" t="n">
        <v>386</v>
      </c>
      <c r="B387" s="10" t="n">
        <v>2</v>
      </c>
      <c r="C387" s="11" t="inlineStr">
        <is>
          <t>Gusto 501</t>
        </is>
      </c>
      <c r="D387" s="10" t="inlineStr">
        <is>
          <t>Distillery and Corktown</t>
        </is>
      </c>
      <c r="E387" s="10" t="inlineStr">
        <is>
          <t>Restaurant</t>
        </is>
      </c>
      <c r="F387" s="10" t="inlineStr">
        <is>
          <t>Italian</t>
        </is>
      </c>
      <c r="G387" s="10" t="inlineStr">
        <is>
          <t>501 King St E, Toronto, ON</t>
        </is>
      </c>
      <c r="H387" s="10" t="inlineStr">
        <is>
          <t>gusto501.com</t>
        </is>
      </c>
      <c r="I387" s="12" t="inlineStr">
        <is>
          <t>@gusto501</t>
        </is>
      </c>
      <c r="J387" s="10" t="inlineStr">
        <is>
          <t>416-477-5647</t>
        </is>
      </c>
      <c r="K387" s="10" t="inlineStr"/>
      <c r="L387" s="13" t="inlineStr">
        <is>
          <t>Romantic Corktown Italian with brunch and dinner, good for a date night offer.</t>
        </is>
      </c>
      <c r="M387" s="10" t="inlineStr">
        <is>
          <t>Not checked</t>
        </is>
      </c>
      <c r="N387" s="10" t="inlineStr">
        <is>
          <t>Target</t>
        </is>
      </c>
      <c r="S387" s="14" t="n"/>
      <c r="U387" s="14" t="n"/>
      <c r="X387" s="13" t="inlineStr"/>
      <c r="Y387" s="12" t="inlineStr">
        <is>
          <t>https://www.opentable.ca/toronto/king-east-restaurants</t>
        </is>
      </c>
    </row>
    <row r="388">
      <c r="A388" s="10" t="n">
        <v>387</v>
      </c>
      <c r="B388" s="10" t="n">
        <v>2</v>
      </c>
      <c r="C388" s="11" t="inlineStr">
        <is>
          <t>Madrina Bar y Tapas</t>
        </is>
      </c>
      <c r="D388" s="10" t="inlineStr">
        <is>
          <t>Distillery and Corktown</t>
        </is>
      </c>
      <c r="E388" s="10" t="inlineStr">
        <is>
          <t>Restaurant</t>
        </is>
      </c>
      <c r="F388" s="10" t="inlineStr">
        <is>
          <t>Spanish tapas</t>
        </is>
      </c>
      <c r="G388" s="10" t="inlineStr">
        <is>
          <t>2 Trinity Street, Toronto, ON M5A 3C4</t>
        </is>
      </c>
      <c r="H388" s="10" t="inlineStr">
        <is>
          <t>madrinatapas.com</t>
        </is>
      </c>
      <c r="I388" s="12" t="inlineStr">
        <is>
          <t>@madrina.to</t>
        </is>
      </c>
      <c r="J388" s="10" t="inlineStr">
        <is>
          <t>416-548-8055</t>
        </is>
      </c>
      <c r="K388" s="10" t="inlineStr"/>
      <c r="L388" s="13" t="inlineStr">
        <is>
          <t>Former Michelin pick that suits a date night offer on quieter weeknights.</t>
        </is>
      </c>
      <c r="M388" s="10" t="inlineStr">
        <is>
          <t>Not checked</t>
        </is>
      </c>
      <c r="N388" s="10" t="inlineStr">
        <is>
          <t>Target</t>
        </is>
      </c>
      <c r="S388" s="14" t="n"/>
      <c r="U388" s="14" t="n"/>
      <c r="X388" s="13" t="inlineStr"/>
      <c r="Y388" s="12" t="inlineStr">
        <is>
          <t>https://www.opentable.ca/neighborhood/toronto/distillery-district-restaurants</t>
        </is>
      </c>
    </row>
    <row r="389">
      <c r="A389" s="10" t="n">
        <v>388</v>
      </c>
      <c r="B389" s="10" t="n">
        <v>2</v>
      </c>
      <c r="C389" s="11" t="inlineStr">
        <is>
          <t>Pure Spirits Oyster House &amp; Grill</t>
        </is>
      </c>
      <c r="D389" s="10" t="inlineStr">
        <is>
          <t>Distillery and Corktown</t>
        </is>
      </c>
      <c r="E389" s="10" t="inlineStr">
        <is>
          <t>Restaurant</t>
        </is>
      </c>
      <c r="F389" s="10" t="inlineStr">
        <is>
          <t>Seafood</t>
        </is>
      </c>
      <c r="G389" s="10" t="inlineStr">
        <is>
          <t>17 Tank House Lane, Toronto, ON M5A 3C4</t>
        </is>
      </c>
      <c r="H389" s="10" t="inlineStr">
        <is>
          <t>purespirits.ca</t>
        </is>
      </c>
      <c r="I389" s="12" t="inlineStr">
        <is>
          <t>@spiritspure</t>
        </is>
      </c>
      <c r="J389" s="10" t="inlineStr">
        <is>
          <t>416-361-5859</t>
        </is>
      </c>
      <c r="K389" s="10" t="inlineStr"/>
      <c r="L389" s="13" t="inlineStr">
        <is>
          <t>Seafood room that already runs weekday promos, so it may like a midweek offer.</t>
        </is>
      </c>
      <c r="M389" s="10" t="inlineStr">
        <is>
          <t>Not checked</t>
        </is>
      </c>
      <c r="N389" s="10" t="inlineStr">
        <is>
          <t>Target</t>
        </is>
      </c>
      <c r="S389" s="14" t="n"/>
      <c r="U389" s="14" t="n"/>
      <c r="X389" s="13" t="inlineStr"/>
      <c r="Y389" s="12" t="inlineStr">
        <is>
          <t>https://www.opentable.ca/neighborhood/toronto/distillery-district-restaurants</t>
        </is>
      </c>
    </row>
    <row r="390">
      <c r="A390" s="10" t="n">
        <v>389</v>
      </c>
      <c r="B390" s="10" t="n">
        <v>2</v>
      </c>
      <c r="C390" s="11" t="inlineStr">
        <is>
          <t>The Rosebud</t>
        </is>
      </c>
      <c r="D390" s="10" t="inlineStr">
        <is>
          <t>Distillery and Corktown</t>
        </is>
      </c>
      <c r="E390" s="10" t="inlineStr">
        <is>
          <t>Restaurant</t>
        </is>
      </c>
      <c r="F390" s="10" t="inlineStr">
        <is>
          <t>Contemporary (French, Italian, Asian influences)</t>
        </is>
      </c>
      <c r="G390" s="10" t="inlineStr">
        <is>
          <t>498 King St E, Toronto, ON</t>
        </is>
      </c>
      <c r="H390" s="10" t="inlineStr"/>
      <c r="I390" s="10" t="inlineStr"/>
      <c r="J390" s="10" t="inlineStr"/>
      <c r="K390" s="10" t="inlineStr">
        <is>
          <t>$$$</t>
        </is>
      </c>
      <c r="L390" s="13" t="inlineStr">
        <is>
          <t>Chef-owned Corktown spot with top diner ratings, worth an early Founding Partner pitch.</t>
        </is>
      </c>
      <c r="M390" s="10" t="inlineStr">
        <is>
          <t>Not checked</t>
        </is>
      </c>
      <c r="N390" s="10" t="inlineStr">
        <is>
          <t>Target</t>
        </is>
      </c>
      <c r="S390" s="14" t="n"/>
      <c r="U390" s="14" t="n"/>
      <c r="X390" s="13" t="inlineStr"/>
      <c r="Y390" s="12" t="inlineStr">
        <is>
          <t>https://www.opentable.ca/r/the-rosebud-toronto</t>
        </is>
      </c>
    </row>
    <row r="391">
      <c r="A391" s="10" t="n">
        <v>390</v>
      </c>
      <c r="B391" s="10" t="n">
        <v>2</v>
      </c>
      <c r="C391" s="11" t="inlineStr">
        <is>
          <t>Arvo Coffee</t>
        </is>
      </c>
      <c r="D391" s="10" t="inlineStr">
        <is>
          <t>Distillery and Corktown</t>
        </is>
      </c>
      <c r="E391" s="10" t="inlineStr">
        <is>
          <t>Café</t>
        </is>
      </c>
      <c r="F391" s="10" t="inlineStr">
        <is>
          <t>Coffee, baked goods</t>
        </is>
      </c>
      <c r="G391" s="10" t="inlineStr">
        <is>
          <t>17 Gristmill Lane, Toronto, ON</t>
        </is>
      </c>
      <c r="H391" s="10" t="inlineStr">
        <is>
          <t>arvocoffee.com</t>
        </is>
      </c>
      <c r="I391" s="10" t="inlineStr"/>
      <c r="J391" s="10" t="inlineStr"/>
      <c r="K391" s="10" t="inlineStr"/>
      <c r="L391" s="13" t="inlineStr">
        <is>
          <t>Small specialty café; a second coffee and pastry offer fits the Tuesday idea.</t>
        </is>
      </c>
      <c r="M391" s="10" t="inlineStr">
        <is>
          <t>Not checked</t>
        </is>
      </c>
      <c r="N391" s="10" t="inlineStr">
        <is>
          <t>Target</t>
        </is>
      </c>
      <c r="S391" s="14" t="n"/>
      <c r="U391" s="14" t="n"/>
      <c r="X391" s="13" t="inlineStr"/>
      <c r="Y391" s="12" t="inlineStr">
        <is>
          <t>https://diaryofatorontogirl.com/distillery-district-restaurants/</t>
        </is>
      </c>
    </row>
    <row r="392">
      <c r="A392" s="10" t="n">
        <v>391</v>
      </c>
      <c r="B392" s="10" t="n">
        <v>2</v>
      </c>
      <c r="C392" s="11" t="inlineStr">
        <is>
          <t>Brick Street Bakery</t>
        </is>
      </c>
      <c r="D392" s="10" t="inlineStr">
        <is>
          <t>Distillery and Corktown</t>
        </is>
      </c>
      <c r="E392" s="10" t="inlineStr">
        <is>
          <t>Bakery</t>
        </is>
      </c>
      <c r="F392" s="10" t="inlineStr">
        <is>
          <t>Bakery</t>
        </is>
      </c>
      <c r="G392" s="10" t="inlineStr"/>
      <c r="H392" s="10" t="inlineStr">
        <is>
          <t>brickstreetbakery.com</t>
        </is>
      </c>
      <c r="I392" s="10" t="inlineStr"/>
      <c r="J392" s="10" t="inlineStr"/>
      <c r="K392" s="10" t="inlineStr"/>
      <c r="L392" s="13" t="inlineStr">
        <is>
          <t>Well known Distillery bakery; check it fits as it has more than one shop.</t>
        </is>
      </c>
      <c r="M392" s="10" t="inlineStr">
        <is>
          <t>Not checked</t>
        </is>
      </c>
      <c r="N392" s="10" t="inlineStr">
        <is>
          <t>Target</t>
        </is>
      </c>
      <c r="S392" s="14" t="n"/>
      <c r="U392" s="14" t="n"/>
      <c r="X392" s="13" t="inlineStr"/>
      <c r="Y392" s="12" t="inlineStr">
        <is>
          <t>https://www.gotourscanada.com/coffee-shops-distillery-district-toronto/</t>
        </is>
      </c>
    </row>
    <row r="393">
      <c r="A393" s="10" t="n">
        <v>392</v>
      </c>
      <c r="B393" s="10" t="n">
        <v>2</v>
      </c>
      <c r="C393" s="11" t="inlineStr">
        <is>
          <t>Le Beau Boulangerie</t>
        </is>
      </c>
      <c r="D393" s="10" t="inlineStr">
        <is>
          <t>Distillery and Corktown</t>
        </is>
      </c>
      <c r="E393" s="10" t="inlineStr">
        <is>
          <t>Bakery</t>
        </is>
      </c>
      <c r="F393" s="10" t="inlineStr">
        <is>
          <t>French bakery</t>
        </is>
      </c>
      <c r="G393" s="10" t="inlineStr"/>
      <c r="H393" s="10" t="inlineStr">
        <is>
          <t>lebeaulab.com</t>
        </is>
      </c>
      <c r="I393" s="10" t="inlineStr"/>
      <c r="J393" s="10" t="inlineStr"/>
      <c r="K393" s="10" t="inlineStr"/>
      <c r="L393" s="13" t="inlineStr">
        <is>
          <t>Canary District bakery near Corktown Common, a fit for a weekday pastry offer.</t>
        </is>
      </c>
      <c r="M393" s="10" t="inlineStr">
        <is>
          <t>Not checked</t>
        </is>
      </c>
      <c r="N393" s="10" t="inlineStr">
        <is>
          <t>Target</t>
        </is>
      </c>
      <c r="S393" s="14" t="n"/>
      <c r="U393" s="14" t="n"/>
      <c r="X393" s="13" t="inlineStr"/>
      <c r="Y393" s="12" t="inlineStr">
        <is>
          <t>https://www.gotourscanada.com/coffee-shops-distillery-district-toronto/</t>
        </is>
      </c>
    </row>
    <row r="394">
      <c r="A394" s="10" t="n">
        <v>393</v>
      </c>
      <c r="B394" s="10" t="n">
        <v>2</v>
      </c>
      <c r="C394" s="11" t="inlineStr">
        <is>
          <t>The Sweet Escape</t>
        </is>
      </c>
      <c r="D394" s="10" t="inlineStr">
        <is>
          <t>Distillery and Corktown</t>
        </is>
      </c>
      <c r="E394" s="10" t="inlineStr">
        <is>
          <t>Bakery</t>
        </is>
      </c>
      <c r="F394" s="10" t="inlineStr">
        <is>
          <t>Cakes, sandwiches</t>
        </is>
      </c>
      <c r="G394" s="10" t="inlineStr">
        <is>
          <t>24 Tank House Lane, Toronto, ON M5A 3C4</t>
        </is>
      </c>
      <c r="H394" s="10" t="inlineStr">
        <is>
          <t>thesweetescapedistillery.com</t>
        </is>
      </c>
      <c r="I394" s="12" t="inlineStr">
        <is>
          <t>@sweetescapes</t>
        </is>
      </c>
      <c r="J394" s="10" t="inlineStr">
        <is>
          <t>416-214-2253</t>
        </is>
      </c>
      <c r="K394" s="10" t="inlineStr"/>
      <c r="L394" s="13" t="inlineStr">
        <is>
          <t>Distillery patisserie and lunch spot, good for a second dessert offer.</t>
        </is>
      </c>
      <c r="M394" s="10" t="inlineStr">
        <is>
          <t>Not checked</t>
        </is>
      </c>
      <c r="N394" s="10" t="inlineStr">
        <is>
          <t>Target</t>
        </is>
      </c>
      <c r="S394" s="14" t="n"/>
      <c r="U394" s="14" t="n"/>
      <c r="X394" s="13" t="inlineStr"/>
      <c r="Y394" s="12" t="inlineStr">
        <is>
          <t>https://www.gotourscanada.com/coffee-shops-distillery-district-toronto/</t>
        </is>
      </c>
    </row>
    <row r="395">
      <c r="A395" s="10" t="n">
        <v>394</v>
      </c>
      <c r="B395" s="10" t="n">
        <v>2</v>
      </c>
      <c r="C395" s="11" t="inlineStr">
        <is>
          <t>Avant Gout</t>
        </is>
      </c>
      <c r="D395" s="10" t="inlineStr">
        <is>
          <t>Summerhill and Rosedale</t>
        </is>
      </c>
      <c r="E395" s="10" t="inlineStr">
        <is>
          <t>Restaurant</t>
        </is>
      </c>
      <c r="F395" s="10" t="inlineStr">
        <is>
          <t>French, North African</t>
        </is>
      </c>
      <c r="G395" s="10" t="inlineStr">
        <is>
          <t>1108 Yonge St, Toronto, ON M4W 2L6</t>
        </is>
      </c>
      <c r="H395" s="10" t="inlineStr">
        <is>
          <t>avantgoutrestaurant.ca</t>
        </is>
      </c>
      <c r="I395" s="10" t="inlineStr"/>
      <c r="J395" s="10" t="inlineStr">
        <is>
          <t>416-916-3681</t>
        </is>
      </c>
      <c r="K395" s="10" t="inlineStr"/>
      <c r="L395" s="13" t="inlineStr">
        <is>
          <t>Small Rosedale bistro that could use a reason for guests to come midweek.</t>
        </is>
      </c>
      <c r="M395" s="10" t="inlineStr">
        <is>
          <t>Not checked</t>
        </is>
      </c>
      <c r="N395" s="10" t="inlineStr">
        <is>
          <t>Target</t>
        </is>
      </c>
      <c r="S395" s="14" t="n"/>
      <c r="U395" s="14" t="n"/>
      <c r="X395" s="13" t="inlineStr"/>
      <c r="Y395" s="12" t="inlineStr">
        <is>
          <t>https://joinpearl.co/restaurants/toronto/avant-gout</t>
        </is>
      </c>
    </row>
    <row r="396">
      <c r="A396" s="10" t="n">
        <v>395</v>
      </c>
      <c r="B396" s="10" t="n">
        <v>2</v>
      </c>
      <c r="C396" s="11" t="inlineStr">
        <is>
          <t>Brownes Bistro</t>
        </is>
      </c>
      <c r="D396" s="10" t="inlineStr">
        <is>
          <t>Summerhill and Rosedale</t>
        </is>
      </c>
      <c r="E396" s="10" t="inlineStr">
        <is>
          <t>Restaurant</t>
        </is>
      </c>
      <c r="F396" s="10" t="inlineStr">
        <is>
          <t>Contemporary French bistro</t>
        </is>
      </c>
      <c r="G396" s="10" t="inlineStr">
        <is>
          <t>1251 Yonge Street, Toronto, ON M4T 1W4</t>
        </is>
      </c>
      <c r="H396" s="10" t="inlineStr">
        <is>
          <t>brownesbistro.com</t>
        </is>
      </c>
      <c r="I396" s="12" t="inlineStr">
        <is>
          <t>@brownesbistro</t>
        </is>
      </c>
      <c r="J396" s="10" t="inlineStr">
        <is>
          <t>416-924-8132</t>
        </is>
      </c>
      <c r="K396" s="10" t="inlineStr"/>
      <c r="L396" s="13" t="inlineStr">
        <is>
          <t>Long-running Rosedale bistro with a loyal local crowd that likes to come back.</t>
        </is>
      </c>
      <c r="M396" s="10" t="inlineStr">
        <is>
          <t>Not checked</t>
        </is>
      </c>
      <c r="N396" s="10" t="inlineStr">
        <is>
          <t>Target</t>
        </is>
      </c>
      <c r="S396" s="14" t="n"/>
      <c r="U396" s="14" t="n"/>
      <c r="X396" s="13" t="inlineStr"/>
      <c r="Y396" s="12" t="inlineStr">
        <is>
          <t>https://www.opentable.ca/neighborhood/toronto/rosedale-restaurants</t>
        </is>
      </c>
    </row>
    <row r="397">
      <c r="A397" s="10" t="n">
        <v>396</v>
      </c>
      <c r="B397" s="10" t="n">
        <v>2</v>
      </c>
      <c r="C397" s="11" t="inlineStr">
        <is>
          <t>Mineral</t>
        </is>
      </c>
      <c r="D397" s="10" t="inlineStr">
        <is>
          <t>Summerhill and Rosedale</t>
        </is>
      </c>
      <c r="E397" s="10" t="inlineStr">
        <is>
          <t>Restaurant</t>
        </is>
      </c>
      <c r="F397" s="10" t="inlineStr">
        <is>
          <t>Filipino-inspired contemporary</t>
        </is>
      </c>
      <c r="G397" s="10" t="inlineStr">
        <is>
          <t>1027 Yonge St, Toronto, ON</t>
        </is>
      </c>
      <c r="H397" s="10" t="inlineStr"/>
      <c r="I397" s="10" t="inlineStr"/>
      <c r="J397" s="10" t="inlineStr"/>
      <c r="K397" s="10" t="inlineStr">
        <is>
          <t>$$$</t>
        </is>
      </c>
      <c r="L397" s="13" t="inlineStr">
        <is>
          <t>Tasting menu spot with buzz; an upgrade offer may fit better than two-for-one.</t>
        </is>
      </c>
      <c r="M397" s="10" t="inlineStr">
        <is>
          <t>Not checked</t>
        </is>
      </c>
      <c r="N397" s="10" t="inlineStr">
        <is>
          <t>Target</t>
        </is>
      </c>
      <c r="S397" s="14" t="n"/>
      <c r="U397" s="14" t="n"/>
      <c r="X397" s="13" t="inlineStr"/>
      <c r="Y397" s="12" t="inlineStr">
        <is>
          <t>https://streetsoftoronto.com/food/restaurants/the-2026-michelin-stars-are-coming-this-september-heres-who-toronto-foodies-are-rooting-for/</t>
        </is>
      </c>
    </row>
    <row r="398">
      <c r="A398" s="10" t="n">
        <v>397</v>
      </c>
      <c r="B398" s="10" t="n">
        <v>2</v>
      </c>
      <c r="C398" s="11" t="inlineStr">
        <is>
          <t>Quanto Basta</t>
        </is>
      </c>
      <c r="D398" s="10" t="inlineStr">
        <is>
          <t>Summerhill and Rosedale</t>
        </is>
      </c>
      <c r="E398" s="10" t="inlineStr">
        <is>
          <t>Restaurant</t>
        </is>
      </c>
      <c r="F398" s="10" t="inlineStr">
        <is>
          <t>Italian</t>
        </is>
      </c>
      <c r="G398" s="10" t="inlineStr">
        <is>
          <t>1112 Yonge St, Toronto, ON</t>
        </is>
      </c>
      <c r="H398" s="10" t="inlineStr">
        <is>
          <t>quantobasta.ca</t>
        </is>
      </c>
      <c r="I398" s="12" t="inlineStr">
        <is>
          <t>@quantobastato</t>
        </is>
      </c>
      <c r="J398" s="10" t="inlineStr">
        <is>
          <t>416-962-3141</t>
        </is>
      </c>
      <c r="K398" s="10" t="inlineStr"/>
      <c r="L398" s="13" t="inlineStr">
        <is>
          <t>Rosedale Italian that suits a pasta for two offer.</t>
        </is>
      </c>
      <c r="M398" s="10" t="inlineStr">
        <is>
          <t>Not checked</t>
        </is>
      </c>
      <c r="N398" s="10" t="inlineStr">
        <is>
          <t>Target</t>
        </is>
      </c>
      <c r="S398" s="14" t="n"/>
      <c r="U398" s="14" t="n"/>
      <c r="X398" s="13" t="inlineStr"/>
      <c r="Y398" s="12" t="inlineStr">
        <is>
          <t>https://www.opentable.ca/neighborhood/toronto/rosedale-restaurants</t>
        </is>
      </c>
    </row>
    <row r="399">
      <c r="A399" s="10" t="n">
        <v>398</v>
      </c>
      <c r="B399" s="10" t="n">
        <v>2</v>
      </c>
      <c r="C399" s="11" t="inlineStr">
        <is>
          <t>Sash Restaurant</t>
        </is>
      </c>
      <c r="D399" s="10" t="inlineStr">
        <is>
          <t>Summerhill and Rosedale</t>
        </is>
      </c>
      <c r="E399" s="10" t="inlineStr">
        <is>
          <t>Restaurant</t>
        </is>
      </c>
      <c r="F399" s="10" t="inlineStr">
        <is>
          <t>Modern international</t>
        </is>
      </c>
      <c r="G399" s="10" t="inlineStr">
        <is>
          <t>1133 Yonge St, Toronto, ON M4T 2Y7</t>
        </is>
      </c>
      <c r="H399" s="10" t="inlineStr">
        <is>
          <t>sash.ca</t>
        </is>
      </c>
      <c r="I399" s="10" t="inlineStr"/>
      <c r="J399" s="10" t="inlineStr">
        <is>
          <t>416-921-7274</t>
        </is>
      </c>
      <c r="K399" s="10" t="inlineStr">
        <is>
          <t>$$$$</t>
        </is>
      </c>
      <c r="L399" s="13" t="inlineStr">
        <is>
          <t>High-end chef-led room; an add-on upgrade may suit it better than a second main.</t>
        </is>
      </c>
      <c r="M399" s="10" t="inlineStr">
        <is>
          <t>Not checked</t>
        </is>
      </c>
      <c r="N399" s="10" t="inlineStr">
        <is>
          <t>Target</t>
        </is>
      </c>
      <c r="S399" s="14" t="n"/>
      <c r="U399" s="14" t="n"/>
      <c r="X399" s="13" t="inlineStr"/>
      <c r="Y399" s="12" t="inlineStr">
        <is>
          <t>https://www.opentable.ca/neighborhood/toronto/rosedale-restaurants</t>
        </is>
      </c>
    </row>
    <row r="400">
      <c r="A400" s="10" t="n">
        <v>399</v>
      </c>
      <c r="B400" s="10" t="n">
        <v>2</v>
      </c>
      <c r="C400" s="11" t="inlineStr">
        <is>
          <t>Seahorse</t>
        </is>
      </c>
      <c r="D400" s="10" t="inlineStr">
        <is>
          <t>Summerhill and Rosedale</t>
        </is>
      </c>
      <c r="E400" s="10" t="inlineStr">
        <is>
          <t>Restaurant</t>
        </is>
      </c>
      <c r="F400" s="10" t="inlineStr">
        <is>
          <t>Seafood, raw bar</t>
        </is>
      </c>
      <c r="G400" s="10" t="inlineStr">
        <is>
          <t>1226 Yonge St, Toronto, ON</t>
        </is>
      </c>
      <c r="H400" s="10" t="inlineStr"/>
      <c r="I400" s="10" t="inlineStr"/>
      <c r="J400" s="10" t="inlineStr"/>
      <c r="K400" s="10" t="inlineStr"/>
      <c r="L400" s="13" t="inlineStr">
        <is>
          <t>New Summerhill seafood spot that may want weeknight traffic in its first years.</t>
        </is>
      </c>
      <c r="M400" s="10" t="inlineStr">
        <is>
          <t>Not checked</t>
        </is>
      </c>
      <c r="N400" s="10" t="inlineStr">
        <is>
          <t>Target</t>
        </is>
      </c>
      <c r="S400" s="14" t="n"/>
      <c r="U400" s="14" t="n"/>
      <c r="X400" s="13" t="inlineStr"/>
      <c r="Y400" s="12" t="inlineStr">
        <is>
          <t>https://streetsoftoronto.com/city/neighbourhood-crawl-summerhill-west-end-style-heads-to-midtown/</t>
        </is>
      </c>
    </row>
    <row r="401">
      <c r="A401" s="10" t="n">
        <v>400</v>
      </c>
      <c r="B401" s="10" t="n">
        <v>2</v>
      </c>
      <c r="C401" s="11" t="inlineStr">
        <is>
          <t>Shay Ristorante</t>
        </is>
      </c>
      <c r="D401" s="10" t="inlineStr">
        <is>
          <t>Summerhill and Rosedale</t>
        </is>
      </c>
      <c r="E401" s="10" t="inlineStr">
        <is>
          <t>Restaurant</t>
        </is>
      </c>
      <c r="F401" s="10" t="inlineStr">
        <is>
          <t>Italian</t>
        </is>
      </c>
      <c r="G401" s="10" t="inlineStr">
        <is>
          <t>1055 Yonge St, Toronto, ON</t>
        </is>
      </c>
      <c r="H401" s="10" t="inlineStr"/>
      <c r="I401" s="10" t="inlineStr"/>
      <c r="J401" s="10" t="inlineStr"/>
      <c r="K401" s="10" t="inlineStr"/>
      <c r="L401" s="13" t="inlineStr">
        <is>
          <t>New chef-owned Italian near Summerhill station, a good fit as a Founding Partner.</t>
        </is>
      </c>
      <c r="M401" s="10" t="inlineStr">
        <is>
          <t>Not checked</t>
        </is>
      </c>
      <c r="N401" s="10" t="inlineStr">
        <is>
          <t>Target</t>
        </is>
      </c>
      <c r="S401" s="14" t="n"/>
      <c r="U401" s="14" t="n"/>
      <c r="X401" s="13" t="inlineStr"/>
      <c r="Y401" s="12" t="inlineStr">
        <is>
          <t>https://whatnow.com/toronto/restaurants/justin-friedlich-opening-first-solo-restaurant-shay/</t>
        </is>
      </c>
    </row>
    <row r="402">
      <c r="A402" s="10" t="n">
        <v>401</v>
      </c>
      <c r="B402" s="10" t="n">
        <v>2</v>
      </c>
      <c r="C402" s="11" t="inlineStr">
        <is>
          <t>Sorrel Rosedale</t>
        </is>
      </c>
      <c r="D402" s="10" t="inlineStr">
        <is>
          <t>Summerhill and Rosedale</t>
        </is>
      </c>
      <c r="E402" s="10" t="inlineStr">
        <is>
          <t>Restaurant</t>
        </is>
      </c>
      <c r="F402" s="10" t="inlineStr">
        <is>
          <t>French-Mediterranean, seafood</t>
        </is>
      </c>
      <c r="G402" s="10" t="inlineStr">
        <is>
          <t>1158 Yonge St, Toronto, ON M4W 2L9</t>
        </is>
      </c>
      <c r="H402" s="10" t="inlineStr">
        <is>
          <t>sorrelrestaurant.ca</t>
        </is>
      </c>
      <c r="I402" s="10" t="inlineStr"/>
      <c r="J402" s="10" t="inlineStr">
        <is>
          <t>416-926-1010</t>
        </is>
      </c>
      <c r="K402" s="10" t="inlineStr">
        <is>
          <t>$$$</t>
        </is>
      </c>
      <c r="L402" s="13" t="inlineStr">
        <is>
          <t>Polished neighbourhood room with weekday lunch, a fit for a lunch offer.</t>
        </is>
      </c>
      <c r="M402" s="10" t="inlineStr">
        <is>
          <t>Not checked</t>
        </is>
      </c>
      <c r="N402" s="10" t="inlineStr">
        <is>
          <t>Target</t>
        </is>
      </c>
      <c r="S402" s="14" t="n"/>
      <c r="U402" s="14" t="n"/>
      <c r="X402" s="13" t="inlineStr"/>
      <c r="Y402" s="12" t="inlineStr">
        <is>
          <t>https://www.opentable.ca/neighborhood/toronto/rosedale-restaurants</t>
        </is>
      </c>
    </row>
    <row r="403">
      <c r="A403" s="10" t="n">
        <v>402</v>
      </c>
      <c r="B403" s="10" t="n">
        <v>2</v>
      </c>
      <c r="C403" s="11" t="inlineStr">
        <is>
          <t>Taline</t>
        </is>
      </c>
      <c r="D403" s="10" t="inlineStr">
        <is>
          <t>Summerhill and Rosedale</t>
        </is>
      </c>
      <c r="E403" s="10" t="inlineStr">
        <is>
          <t>Restaurant</t>
        </is>
      </c>
      <c r="F403" s="10" t="inlineStr">
        <is>
          <t>Armenian</t>
        </is>
      </c>
      <c r="G403" s="10" t="inlineStr">
        <is>
          <t>1276 Yonge St, Toronto, ON M4T 1W5</t>
        </is>
      </c>
      <c r="H403" s="10" t="inlineStr">
        <is>
          <t>talineto.com</t>
        </is>
      </c>
      <c r="I403" s="10" t="inlineStr"/>
      <c r="J403" s="10" t="inlineStr">
        <is>
          <t>416-922-8873</t>
        </is>
      </c>
      <c r="K403" s="10" t="inlineStr">
        <is>
          <t>$$</t>
        </is>
      </c>
      <c r="L403" s="13" t="inlineStr">
        <is>
          <t>Michelin listed and top rated nearby, a strong name for the launch list.</t>
        </is>
      </c>
      <c r="M403" s="10" t="inlineStr">
        <is>
          <t>Not checked</t>
        </is>
      </c>
      <c r="N403" s="10" t="inlineStr">
        <is>
          <t>Target</t>
        </is>
      </c>
      <c r="S403" s="14" t="n"/>
      <c r="U403" s="14" t="n"/>
      <c r="X403" s="13" t="inlineStr"/>
      <c r="Y403" s="12" t="inlineStr">
        <is>
          <t>https://guide.michelin.com/en/ontario/toronto/restaurant/taline</t>
        </is>
      </c>
    </row>
    <row r="404">
      <c r="A404" s="10" t="n">
        <v>403</v>
      </c>
      <c r="B404" s="10" t="n">
        <v>2</v>
      </c>
      <c r="C404" s="11" t="inlineStr">
        <is>
          <t>Dua's Coffee</t>
        </is>
      </c>
      <c r="D404" s="10" t="inlineStr">
        <is>
          <t>Summerhill and Rosedale</t>
        </is>
      </c>
      <c r="E404" s="10" t="inlineStr">
        <is>
          <t>Café</t>
        </is>
      </c>
      <c r="F404" s="10" t="inlineStr">
        <is>
          <t>Coffee, pastries</t>
        </is>
      </c>
      <c r="G404" s="10" t="inlineStr">
        <is>
          <t>Yonge St, Toronto, ON</t>
        </is>
      </c>
      <c r="H404" s="10" t="inlineStr"/>
      <c r="I404" s="10" t="inlineStr"/>
      <c r="J404" s="10" t="inlineStr"/>
      <c r="K404" s="10" t="inlineStr"/>
      <c r="L404" s="13" t="inlineStr">
        <is>
          <t>Cosy new café on the Summerhill strip, good for a coffee for two offer.</t>
        </is>
      </c>
      <c r="M404" s="10" t="inlineStr">
        <is>
          <t>Not checked</t>
        </is>
      </c>
      <c r="N404" s="10" t="inlineStr">
        <is>
          <t>Target</t>
        </is>
      </c>
      <c r="S404" s="14" t="n"/>
      <c r="U404" s="14" t="n"/>
      <c r="X404" s="13" t="inlineStr"/>
      <c r="Y404" s="12" t="inlineStr">
        <is>
          <t>https://streetsoftoronto.com/city/neighbourhood-crawl-summerhill-west-end-style-heads-to-midtown/</t>
        </is>
      </c>
    </row>
    <row r="405">
      <c r="A405" s="10" t="n">
        <v>404</v>
      </c>
      <c r="B405" s="10" t="n">
        <v>2</v>
      </c>
      <c r="C405" s="11" t="inlineStr">
        <is>
          <t>Aafrien Indian Restaurant</t>
        </is>
      </c>
      <c r="D405" s="10" t="inlineStr">
        <is>
          <t>Midtown</t>
        </is>
      </c>
      <c r="E405" s="10" t="inlineStr">
        <is>
          <t>Restaurant</t>
        </is>
      </c>
      <c r="F405" s="10" t="inlineStr">
        <is>
          <t>Indian</t>
        </is>
      </c>
      <c r="G405" s="10" t="inlineStr">
        <is>
          <t>55 Eglinton Ave E, Toronto, ON M4P 1G8</t>
        </is>
      </c>
      <c r="H405" s="10" t="inlineStr">
        <is>
          <t>aafrienrestaurant.com</t>
        </is>
      </c>
      <c r="I405" s="10" t="inlineStr"/>
      <c r="J405" s="10" t="inlineStr">
        <is>
          <t>416-482-3434</t>
        </is>
      </c>
      <c r="K405" s="10" t="inlineStr"/>
      <c r="L405" s="13" t="inlineStr">
        <is>
          <t>Midtown tandoori spot that suits a second main offer.</t>
        </is>
      </c>
      <c r="M405" s="10" t="inlineStr">
        <is>
          <t>Not checked</t>
        </is>
      </c>
      <c r="N405" s="10" t="inlineStr">
        <is>
          <t>Target</t>
        </is>
      </c>
      <c r="S405" s="14" t="n"/>
      <c r="U405" s="14" t="n"/>
      <c r="X405" s="13" t="inlineStr">
        <is>
          <t>Check it's open before visiting: weak online evidence.</t>
        </is>
      </c>
      <c r="Y405" s="12" t="inlineStr">
        <is>
          <t>https://www.opentable.ca/neighborhood/toronto/yonge-and-eglinton-restaurants</t>
        </is>
      </c>
    </row>
    <row r="406">
      <c r="A406" s="10" t="n">
        <v>405</v>
      </c>
      <c r="B406" s="10" t="n">
        <v>2</v>
      </c>
      <c r="C406" s="11" t="inlineStr">
        <is>
          <t>Grazie Ristorante</t>
        </is>
      </c>
      <c r="D406" s="10" t="inlineStr">
        <is>
          <t>Midtown</t>
        </is>
      </c>
      <c r="E406" s="10" t="inlineStr">
        <is>
          <t>Restaurant</t>
        </is>
      </c>
      <c r="F406" s="10" t="inlineStr">
        <is>
          <t>Italian</t>
        </is>
      </c>
      <c r="G406" s="10" t="inlineStr">
        <is>
          <t>2373 Yonge St, Toronto, ON M4P 2C8</t>
        </is>
      </c>
      <c r="H406" s="10" t="inlineStr">
        <is>
          <t>grazie.ca</t>
        </is>
      </c>
      <c r="I406" s="10" t="inlineStr"/>
      <c r="J406" s="10" t="inlineStr">
        <is>
          <t>416-488-0822</t>
        </is>
      </c>
      <c r="K406" s="10" t="inlineStr"/>
      <c r="L406" s="13" t="inlineStr">
        <is>
          <t>Busy family Italian, an easy fit for a second pasta or pizza.</t>
        </is>
      </c>
      <c r="M406" s="10" t="inlineStr">
        <is>
          <t>Not checked</t>
        </is>
      </c>
      <c r="N406" s="10" t="inlineStr">
        <is>
          <t>Target</t>
        </is>
      </c>
      <c r="S406" s="14" t="n"/>
      <c r="U406" s="14" t="n"/>
      <c r="X406" s="13" t="inlineStr"/>
      <c r="Y406" s="12" t="inlineStr">
        <is>
          <t>https://www.opentable.ca/neighborhood/toronto/yonge-and-eglinton-restaurants</t>
        </is>
      </c>
    </row>
    <row r="407">
      <c r="A407" s="10" t="n">
        <v>406</v>
      </c>
      <c r="B407" s="10" t="n">
        <v>2</v>
      </c>
      <c r="C407" s="11" t="inlineStr">
        <is>
          <t>Instant du Palais</t>
        </is>
      </c>
      <c r="D407" s="10" t="inlineStr">
        <is>
          <t>Midtown</t>
        </is>
      </c>
      <c r="E407" s="10" t="inlineStr">
        <is>
          <t>Restaurant</t>
        </is>
      </c>
      <c r="F407" s="10" t="inlineStr">
        <is>
          <t>Ivorian, West African</t>
        </is>
      </c>
      <c r="G407" s="10" t="inlineStr">
        <is>
          <t>557 Mount Pleasant Rd, Toronto, ON</t>
        </is>
      </c>
      <c r="H407" s="10" t="inlineStr">
        <is>
          <t>instantdupalais.com</t>
        </is>
      </c>
      <c r="I407" s="12" t="inlineStr">
        <is>
          <t>@instantdupalais</t>
        </is>
      </c>
      <c r="J407" s="10" t="inlineStr">
        <is>
          <t>416-672-0187</t>
        </is>
      </c>
      <c r="K407" s="10" t="inlineStr"/>
      <c r="L407" s="13" t="inlineStr">
        <is>
          <t>Well rated brunch and dinner spot that adds variety to the Midtown list.</t>
        </is>
      </c>
      <c r="M407" s="10" t="inlineStr">
        <is>
          <t>Not checked</t>
        </is>
      </c>
      <c r="N407" s="10" t="inlineStr">
        <is>
          <t>Target</t>
        </is>
      </c>
      <c r="S407" s="14" t="n"/>
      <c r="U407" s="14" t="n"/>
      <c r="X407" s="13" t="inlineStr"/>
      <c r="Y407" s="12" t="inlineStr">
        <is>
          <t>https://streetsoftoronto.com/street-eats/instant-du-palais/</t>
        </is>
      </c>
    </row>
    <row r="408">
      <c r="A408" s="10" t="n">
        <v>407</v>
      </c>
      <c r="B408" s="10" t="n">
        <v>2</v>
      </c>
      <c r="C408" s="11" t="inlineStr">
        <is>
          <t>Kadak</t>
        </is>
      </c>
      <c r="D408" s="10" t="inlineStr">
        <is>
          <t>Midtown</t>
        </is>
      </c>
      <c r="E408" s="10" t="inlineStr">
        <is>
          <t>Restaurant</t>
        </is>
      </c>
      <c r="F408" s="10" t="inlineStr">
        <is>
          <t>Indian</t>
        </is>
      </c>
      <c r="G408" s="10" t="inlineStr">
        <is>
          <t>2088 Yonge St, Toronto, ON M4S 2A3</t>
        </is>
      </c>
      <c r="H408" s="10" t="inlineStr"/>
      <c r="I408" s="10" t="inlineStr"/>
      <c r="J408" s="10" t="inlineStr">
        <is>
          <t>416-322-6227</t>
        </is>
      </c>
      <c r="K408" s="10" t="inlineStr"/>
      <c r="L408" s="13" t="inlineStr">
        <is>
          <t>Newer Indian room with few reviews so far, a likely yes to new diners.</t>
        </is>
      </c>
      <c r="M408" s="10" t="inlineStr">
        <is>
          <t>Not checked</t>
        </is>
      </c>
      <c r="N408" s="10" t="inlineStr">
        <is>
          <t>Target</t>
        </is>
      </c>
      <c r="S408" s="14" t="n"/>
      <c r="U408" s="14" t="n"/>
      <c r="X408" s="13" t="inlineStr"/>
      <c r="Y408" s="12" t="inlineStr">
        <is>
          <t>https://www.opentable.ca/restaurant/profile/1380388</t>
        </is>
      </c>
    </row>
    <row r="409">
      <c r="A409" s="10" t="n">
        <v>408</v>
      </c>
      <c r="B409" s="10" t="n">
        <v>2</v>
      </c>
      <c r="C409" s="11" t="inlineStr">
        <is>
          <t>Kappo Sato</t>
        </is>
      </c>
      <c r="D409" s="10" t="inlineStr">
        <is>
          <t>Midtown</t>
        </is>
      </c>
      <c r="E409" s="10" t="inlineStr">
        <is>
          <t>Restaurant</t>
        </is>
      </c>
      <c r="F409" s="10" t="inlineStr">
        <is>
          <t>Japanese</t>
        </is>
      </c>
      <c r="G409" s="10" t="inlineStr">
        <is>
          <t>575 Mount Pleasant Rd, Toronto, ON</t>
        </is>
      </c>
      <c r="H409" s="10" t="inlineStr"/>
      <c r="I409" s="10" t="inlineStr"/>
      <c r="J409" s="10" t="inlineStr"/>
      <c r="K409" s="10" t="inlineStr"/>
      <c r="L409" s="13" t="inlineStr">
        <is>
          <t>Michelin starred; a long shot for an offer but strong for credibility if it says yes.</t>
        </is>
      </c>
      <c r="M409" s="10" t="inlineStr">
        <is>
          <t>Not checked</t>
        </is>
      </c>
      <c r="N409" s="10" t="inlineStr">
        <is>
          <t>Target</t>
        </is>
      </c>
      <c r="S409" s="14" t="n"/>
      <c r="U409" s="14" t="n"/>
      <c r="X409" s="13" t="inlineStr"/>
      <c r="Y409" s="12" t="inlineStr">
        <is>
          <t>https://nowtoronto.com/news/2026-michelin-guide-toronto-restaurants/</t>
        </is>
      </c>
    </row>
    <row r="410">
      <c r="A410" s="10" t="n">
        <v>409</v>
      </c>
      <c r="B410" s="10" t="n">
        <v>2</v>
      </c>
      <c r="C410" s="11" t="inlineStr">
        <is>
          <t>La Vecchia Ristorante</t>
        </is>
      </c>
      <c r="D410" s="10" t="inlineStr">
        <is>
          <t>Midtown</t>
        </is>
      </c>
      <c r="E410" s="10" t="inlineStr">
        <is>
          <t>Restaurant</t>
        </is>
      </c>
      <c r="F410" s="10" t="inlineStr">
        <is>
          <t>Italian</t>
        </is>
      </c>
      <c r="G410" s="10" t="inlineStr">
        <is>
          <t>2405 Yonge St, Toronto, ON</t>
        </is>
      </c>
      <c r="H410" s="10" t="inlineStr">
        <is>
          <t>lavecchia.ca</t>
        </is>
      </c>
      <c r="I410" s="10" t="inlineStr"/>
      <c r="J410" s="10" t="inlineStr">
        <is>
          <t>416-489-0630</t>
        </is>
      </c>
      <c r="K410" s="10" t="inlineStr"/>
      <c r="L410" s="13" t="inlineStr">
        <is>
          <t>Family Italian since 1996 with three locations; pitch the Uptown room.</t>
        </is>
      </c>
      <c r="M410" s="10" t="inlineStr">
        <is>
          <t>Not checked</t>
        </is>
      </c>
      <c r="N410" s="10" t="inlineStr">
        <is>
          <t>Target</t>
        </is>
      </c>
      <c r="S410" s="14" t="n"/>
      <c r="U410" s="14" t="n"/>
      <c r="X410" s="13" t="inlineStr"/>
      <c r="Y410" s="12" t="inlineStr">
        <is>
          <t>https://www.opentable.ca/neighborhood/toronto/yonge-and-eglinton-restaurants</t>
        </is>
      </c>
    </row>
    <row r="411">
      <c r="A411" s="10" t="n">
        <v>410</v>
      </c>
      <c r="B411" s="10" t="n">
        <v>2</v>
      </c>
      <c r="C411" s="11" t="inlineStr">
        <is>
          <t>Namul</t>
        </is>
      </c>
      <c r="D411" s="10" t="inlineStr">
        <is>
          <t>Midtown</t>
        </is>
      </c>
      <c r="E411" s="10" t="inlineStr">
        <is>
          <t>Restaurant</t>
        </is>
      </c>
      <c r="F411" s="10" t="inlineStr">
        <is>
          <t>Korean</t>
        </is>
      </c>
      <c r="G411" s="10" t="inlineStr">
        <is>
          <t>2029 Yonge St, Toronto, ON M4S 2A2</t>
        </is>
      </c>
      <c r="H411" s="10" t="inlineStr">
        <is>
          <t>namul.ca</t>
        </is>
      </c>
      <c r="I411" s="10" t="inlineStr"/>
      <c r="J411" s="10" t="inlineStr">
        <is>
          <t>416-487-9771</t>
        </is>
      </c>
      <c r="K411" s="10" t="inlineStr"/>
      <c r="L411" s="13" t="inlineStr">
        <is>
          <t>Casual Korean near Davisville, a good weeknight bring-a-friend spot.</t>
        </is>
      </c>
      <c r="M411" s="10" t="inlineStr">
        <is>
          <t>Not checked</t>
        </is>
      </c>
      <c r="N411" s="10" t="inlineStr">
        <is>
          <t>Target</t>
        </is>
      </c>
      <c r="S411" s="14" t="n"/>
      <c r="U411" s="14" t="n"/>
      <c r="X411" s="13" t="inlineStr">
        <is>
          <t>Check it's open before visiting: weak online evidence.</t>
        </is>
      </c>
      <c r="Y411" s="12" t="inlineStr">
        <is>
          <t>https://ritual.co/guides/toronto-yonge-eglinton</t>
        </is>
      </c>
    </row>
    <row r="412">
      <c r="A412" s="10" t="n">
        <v>411</v>
      </c>
      <c r="B412" s="10" t="n">
        <v>2</v>
      </c>
      <c r="C412" s="11" t="inlineStr">
        <is>
          <t>Wild Chicory</t>
        </is>
      </c>
      <c r="D412" s="10" t="inlineStr">
        <is>
          <t>Midtown</t>
        </is>
      </c>
      <c r="E412" s="10" t="inlineStr">
        <is>
          <t>Restaurant</t>
        </is>
      </c>
      <c r="F412" s="10" t="inlineStr">
        <is>
          <t>Canadian</t>
        </is>
      </c>
      <c r="G412" s="10" t="inlineStr">
        <is>
          <t>525 Mount Pleasant Road, Toronto, ON M4S 2M4</t>
        </is>
      </c>
      <c r="H412" s="10" t="inlineStr">
        <is>
          <t>wildchicory.ca</t>
        </is>
      </c>
      <c r="I412" s="12" t="inlineStr">
        <is>
          <t>@wild.chicory.to</t>
        </is>
      </c>
      <c r="J412" s="10" t="inlineStr">
        <is>
          <t>416-519-3758</t>
        </is>
      </c>
      <c r="K412" s="10" t="inlineStr"/>
      <c r="L412" s="13" t="inlineStr">
        <is>
          <t>Small, highly rated Mount Pleasant spot that would gain from new regulars.</t>
        </is>
      </c>
      <c r="M412" s="10" t="inlineStr">
        <is>
          <t>Not checked</t>
        </is>
      </c>
      <c r="N412" s="10" t="inlineStr">
        <is>
          <t>Target</t>
        </is>
      </c>
      <c r="S412" s="14" t="n"/>
      <c r="U412" s="14" t="n"/>
      <c r="X412" s="13" t="inlineStr"/>
      <c r="Y412" s="12" t="inlineStr">
        <is>
          <t>https://www.opentable.ca/neighborhood/toronto/yonge-and-eglinton-restaurants</t>
        </is>
      </c>
    </row>
    <row r="413">
      <c r="A413" s="10" t="n">
        <v>412</v>
      </c>
      <c r="B413" s="10" t="n">
        <v>2</v>
      </c>
      <c r="C413" s="11" t="inlineStr">
        <is>
          <t>Zezafoun Syrian Cuisine</t>
        </is>
      </c>
      <c r="D413" s="10" t="inlineStr">
        <is>
          <t>Midtown</t>
        </is>
      </c>
      <c r="E413" s="10" t="inlineStr">
        <is>
          <t>Restaurant</t>
        </is>
      </c>
      <c r="F413" s="10" t="inlineStr">
        <is>
          <t>Syrian</t>
        </is>
      </c>
      <c r="G413" s="10" t="inlineStr">
        <is>
          <t>4 Manor Rd E, Toronto, ON M4S 1P8</t>
        </is>
      </c>
      <c r="H413" s="10" t="inlineStr"/>
      <c r="I413" s="10" t="inlineStr"/>
      <c r="J413" s="10" t="inlineStr"/>
      <c r="K413" s="10" t="inlineStr"/>
      <c r="L413" s="13" t="inlineStr">
        <is>
          <t>Warm family Syrian spot that suits shared plates and bringing someone.</t>
        </is>
      </c>
      <c r="M413" s="10" t="inlineStr">
        <is>
          <t>Not checked</t>
        </is>
      </c>
      <c r="N413" s="10" t="inlineStr">
        <is>
          <t>Target</t>
        </is>
      </c>
      <c r="S413" s="14" t="n"/>
      <c r="U413" s="14" t="n"/>
      <c r="X413" s="13" t="inlineStr"/>
      <c r="Y413" s="12" t="inlineStr">
        <is>
          <t>https://www.opentable.ca/restaurant/profile/1263214</t>
        </is>
      </c>
    </row>
    <row r="414">
      <c r="A414" s="10" t="n">
        <v>413</v>
      </c>
      <c r="B414" s="10" t="n">
        <v>2</v>
      </c>
      <c r="C414" s="11" t="inlineStr">
        <is>
          <t>MIA Brunch Bar</t>
        </is>
      </c>
      <c r="D414" s="10" t="inlineStr">
        <is>
          <t>Midtown</t>
        </is>
      </c>
      <c r="E414" s="10" t="inlineStr">
        <is>
          <t>Brunch</t>
        </is>
      </c>
      <c r="F414" s="10" t="inlineStr">
        <is>
          <t>Brunch</t>
        </is>
      </c>
      <c r="G414" s="10" t="inlineStr">
        <is>
          <t>2140 Yonge St, Toronto, ON M4S 2A8</t>
        </is>
      </c>
      <c r="H414" s="10" t="inlineStr">
        <is>
          <t>miabrunchbar.com</t>
        </is>
      </c>
      <c r="I414" s="10" t="inlineStr"/>
      <c r="J414" s="10" t="inlineStr">
        <is>
          <t>416-322-5553</t>
        </is>
      </c>
      <c r="K414" s="10" t="inlineStr"/>
      <c r="L414" s="13" t="inlineStr">
        <is>
          <t>All-day brunch spot, good for a weekday brunch for two offer.</t>
        </is>
      </c>
      <c r="M414" s="10" t="inlineStr">
        <is>
          <t>Not checked</t>
        </is>
      </c>
      <c r="N414" s="10" t="inlineStr">
        <is>
          <t>Target</t>
        </is>
      </c>
      <c r="S414" s="14" t="n"/>
      <c r="U414" s="14" t="n"/>
      <c r="X414" s="13" t="inlineStr"/>
      <c r="Y414" s="12" t="inlineStr">
        <is>
          <t>https://www.opentable.ca/neighborhood/toronto/yonge-and-eglinton-restaurants</t>
        </is>
      </c>
    </row>
    <row r="415">
      <c r="A415" s="10" t="n">
        <v>414</v>
      </c>
      <c r="B415" s="10" t="n">
        <v>2</v>
      </c>
      <c r="C415" s="11" t="inlineStr">
        <is>
          <t>Bready Cafe</t>
        </is>
      </c>
      <c r="D415" s="10" t="inlineStr">
        <is>
          <t>Midtown</t>
        </is>
      </c>
      <c r="E415" s="10" t="inlineStr">
        <is>
          <t>Café</t>
        </is>
      </c>
      <c r="F415" s="10" t="inlineStr">
        <is>
          <t>Bakery café, brunch</t>
        </is>
      </c>
      <c r="G415" s="10" t="inlineStr">
        <is>
          <t>2433 Yonge St, Toronto, ON</t>
        </is>
      </c>
      <c r="H415" s="10" t="inlineStr"/>
      <c r="I415" s="10" t="inlineStr"/>
      <c r="J415" s="10" t="inlineStr"/>
      <c r="K415" s="10" t="inlineStr"/>
      <c r="L415" s="13" t="inlineStr">
        <is>
          <t>Bakery café with brunch and coffee, a fit for a coffee and pastry offer.</t>
        </is>
      </c>
      <c r="M415" s="10" t="inlineStr">
        <is>
          <t>Not checked</t>
        </is>
      </c>
      <c r="N415" s="10" t="inlineStr">
        <is>
          <t>Target</t>
        </is>
      </c>
      <c r="S415" s="14" t="n"/>
      <c r="U415" s="14" t="n"/>
      <c r="X415" s="13" t="inlineStr"/>
      <c r="Y415" s="12" t="inlineStr">
        <is>
          <t>https://www.yelp.ca/search?cflt=breakfast_brunch&amp;find_loc=Yonge+and+Eglinton%2C+Toronto%2C+ON</t>
        </is>
      </c>
    </row>
    <row r="416">
      <c r="A416" s="10" t="n">
        <v>415</v>
      </c>
      <c r="B416" s="10" t="n">
        <v>2</v>
      </c>
      <c r="C416" s="11" t="inlineStr">
        <is>
          <t>De Mello Coffee</t>
        </is>
      </c>
      <c r="D416" s="10" t="inlineStr">
        <is>
          <t>Midtown</t>
        </is>
      </c>
      <c r="E416" s="10" t="inlineStr">
        <is>
          <t>Café</t>
        </is>
      </c>
      <c r="F416" s="10" t="inlineStr">
        <is>
          <t>Coffee, pastries</t>
        </is>
      </c>
      <c r="G416" s="10" t="inlineStr">
        <is>
          <t>2489 Yonge St, Toronto, ON</t>
        </is>
      </c>
      <c r="H416" s="10" t="inlineStr"/>
      <c r="I416" s="10" t="inlineStr"/>
      <c r="J416" s="10" t="inlineStr"/>
      <c r="K416" s="10" t="inlineStr"/>
      <c r="L416" s="13" t="inlineStr">
        <is>
          <t>Local roaster café; check fit as it has a few shops.</t>
        </is>
      </c>
      <c r="M416" s="10" t="inlineStr">
        <is>
          <t>Not checked</t>
        </is>
      </c>
      <c r="N416" s="10" t="inlineStr">
        <is>
          <t>Target</t>
        </is>
      </c>
      <c r="S416" s="14" t="n"/>
      <c r="U416" s="14" t="n"/>
      <c r="X416" s="13" t="inlineStr"/>
      <c r="Y416" s="12" t="inlineStr">
        <is>
          <t>https://www.yelp.ca/search?cflt=breakfast_brunch&amp;find_loc=Yonge+and+Eglinton%2C+Toronto%2C+ON</t>
        </is>
      </c>
    </row>
    <row r="417">
      <c r="A417" s="10" t="n">
        <v>416</v>
      </c>
      <c r="B417" s="10" t="n">
        <v>2</v>
      </c>
      <c r="C417" s="11" t="inlineStr">
        <is>
          <t>Buono Ristorante</t>
        </is>
      </c>
      <c r="D417" s="10" t="inlineStr">
        <is>
          <t>Leaside</t>
        </is>
      </c>
      <c r="E417" s="10" t="inlineStr">
        <is>
          <t>Restaurant</t>
        </is>
      </c>
      <c r="F417" s="10" t="inlineStr">
        <is>
          <t>Italian</t>
        </is>
      </c>
      <c r="G417" s="10" t="inlineStr">
        <is>
          <t>1566 Bayview Ave, Toronto, ON M4G 3B7</t>
        </is>
      </c>
      <c r="H417" s="10" t="inlineStr">
        <is>
          <t>buonoristorante.com</t>
        </is>
      </c>
      <c r="I417" s="10" t="inlineStr"/>
      <c r="J417" s="10" t="inlineStr">
        <is>
          <t>416-440-0452</t>
        </is>
      </c>
      <c r="K417" s="10" t="inlineStr"/>
      <c r="L417" s="13" t="inlineStr">
        <is>
          <t>Neighbourhood Italian that suits a second main on slower nights.</t>
        </is>
      </c>
      <c r="M417" s="10" t="inlineStr">
        <is>
          <t>Not checked</t>
        </is>
      </c>
      <c r="N417" s="10" t="inlineStr">
        <is>
          <t>Target</t>
        </is>
      </c>
      <c r="S417" s="14" t="n"/>
      <c r="U417" s="14" t="n"/>
      <c r="X417" s="13" t="inlineStr"/>
      <c r="Y417" s="12" t="inlineStr">
        <is>
          <t>https://bayviewleasidebia.com/business-category/restaurants-bars-take-out/</t>
        </is>
      </c>
    </row>
    <row r="418">
      <c r="A418" s="10" t="n">
        <v>417</v>
      </c>
      <c r="B418" s="10" t="n">
        <v>2</v>
      </c>
      <c r="C418" s="11" t="inlineStr">
        <is>
          <t>Chefs of Pauri Khal</t>
        </is>
      </c>
      <c r="D418" s="10" t="inlineStr">
        <is>
          <t>Leaside</t>
        </is>
      </c>
      <c r="E418" s="10" t="inlineStr">
        <is>
          <t>Restaurant</t>
        </is>
      </c>
      <c r="F418" s="10" t="inlineStr">
        <is>
          <t>Indian</t>
        </is>
      </c>
      <c r="G418" s="10" t="inlineStr">
        <is>
          <t>1522 Bayview Ave, Toronto, ON M4G 3B4</t>
        </is>
      </c>
      <c r="H418" s="10" t="inlineStr">
        <is>
          <t>chefsofpaurikhal.ca</t>
        </is>
      </c>
      <c r="I418" s="10" t="inlineStr"/>
      <c r="J418" s="10" t="inlineStr">
        <is>
          <t>416-489-4899</t>
        </is>
      </c>
      <c r="K418" s="10" t="inlineStr"/>
      <c r="L418" s="13" t="inlineStr">
        <is>
          <t>Indian restaurant on Bayview that could use weeknight traffic.</t>
        </is>
      </c>
      <c r="M418" s="10" t="inlineStr">
        <is>
          <t>Not checked</t>
        </is>
      </c>
      <c r="N418" s="10" t="inlineStr">
        <is>
          <t>Target</t>
        </is>
      </c>
      <c r="S418" s="14" t="n"/>
      <c r="U418" s="14" t="n"/>
      <c r="X418" s="13" t="inlineStr"/>
      <c r="Y418" s="12" t="inlineStr">
        <is>
          <t>https://bayviewleasidebia.com/business-category/restaurants-bars-take-out/</t>
        </is>
      </c>
    </row>
    <row r="419">
      <c r="A419" s="10" t="n">
        <v>418</v>
      </c>
      <c r="B419" s="10" t="n">
        <v>2</v>
      </c>
      <c r="C419" s="11" t="inlineStr">
        <is>
          <t>Darna</t>
        </is>
      </c>
      <c r="D419" s="10" t="inlineStr">
        <is>
          <t>Leaside</t>
        </is>
      </c>
      <c r="E419" s="10" t="inlineStr">
        <is>
          <t>Restaurant</t>
        </is>
      </c>
      <c r="F419" s="10" t="inlineStr">
        <is>
          <t>Middle Eastern</t>
        </is>
      </c>
      <c r="G419" s="10" t="inlineStr">
        <is>
          <t>1613 Bayview Ave, Toronto, ON M4G 3B5</t>
        </is>
      </c>
      <c r="H419" s="10" t="inlineStr">
        <is>
          <t>darnatoronto.ca</t>
        </is>
      </c>
      <c r="I419" s="10" t="inlineStr"/>
      <c r="J419" s="10" t="inlineStr">
        <is>
          <t>416-482-1234</t>
        </is>
      </c>
      <c r="K419" s="10" t="inlineStr"/>
      <c r="L419" s="13" t="inlineStr">
        <is>
          <t>Middle Eastern room on Bayview, good for shared plates and bringing someone.</t>
        </is>
      </c>
      <c r="M419" s="10" t="inlineStr">
        <is>
          <t>Not checked</t>
        </is>
      </c>
      <c r="N419" s="10" t="inlineStr">
        <is>
          <t>Target</t>
        </is>
      </c>
      <c r="S419" s="14" t="n"/>
      <c r="U419" s="14" t="n"/>
      <c r="X419" s="13" t="inlineStr"/>
      <c r="Y419" s="12" t="inlineStr">
        <is>
          <t>https://bayviewleasidebia.com/business-category/restaurants-bars-take-out/</t>
        </is>
      </c>
    </row>
    <row r="420">
      <c r="A420" s="10" t="n">
        <v>419</v>
      </c>
      <c r="B420" s="10" t="n">
        <v>2</v>
      </c>
      <c r="C420" s="11" t="inlineStr">
        <is>
          <t>Indian Street Food Co.</t>
        </is>
      </c>
      <c r="D420" s="10" t="inlineStr">
        <is>
          <t>Leaside</t>
        </is>
      </c>
      <c r="E420" s="10" t="inlineStr">
        <is>
          <t>Restaurant</t>
        </is>
      </c>
      <c r="F420" s="10" t="inlineStr">
        <is>
          <t>Indian</t>
        </is>
      </c>
      <c r="G420" s="10" t="inlineStr">
        <is>
          <t>1701 Bayview Ave, Toronto, ON M4G 3C1</t>
        </is>
      </c>
      <c r="H420" s="10" t="inlineStr">
        <is>
          <t>indianstreetfoodco.com</t>
        </is>
      </c>
      <c r="I420" s="10" t="inlineStr"/>
      <c r="J420" s="10" t="inlineStr">
        <is>
          <t>416-322-3270</t>
        </is>
      </c>
      <c r="K420" s="10" t="inlineStr"/>
      <c r="L420" s="13" t="inlineStr">
        <is>
          <t>Well rated Indian room that suits a second main offer.</t>
        </is>
      </c>
      <c r="M420" s="10" t="inlineStr">
        <is>
          <t>Not checked</t>
        </is>
      </c>
      <c r="N420" s="10" t="inlineStr">
        <is>
          <t>Target</t>
        </is>
      </c>
      <c r="S420" s="14" t="n"/>
      <c r="U420" s="14" t="n"/>
      <c r="X420" s="13" t="inlineStr"/>
      <c r="Y420" s="12" t="inlineStr">
        <is>
          <t>https://bayviewleasidebia.com/business-category/restaurants-bars-take-out/</t>
        </is>
      </c>
    </row>
    <row r="421">
      <c r="A421" s="10" t="n">
        <v>420</v>
      </c>
      <c r="B421" s="10" t="n">
        <v>2</v>
      </c>
      <c r="C421" s="11" t="inlineStr">
        <is>
          <t>Jing Chinese Restaurant</t>
        </is>
      </c>
      <c r="D421" s="10" t="inlineStr">
        <is>
          <t>Leaside</t>
        </is>
      </c>
      <c r="E421" s="10" t="inlineStr">
        <is>
          <t>Restaurant</t>
        </is>
      </c>
      <c r="F421" s="10" t="inlineStr">
        <is>
          <t>Chinese</t>
        </is>
      </c>
      <c r="G421" s="10" t="inlineStr">
        <is>
          <t>1634 Bayview Ave, Toronto, ON M4G 3B7</t>
        </is>
      </c>
      <c r="H421" s="10" t="inlineStr">
        <is>
          <t>jingrestaurant.ca</t>
        </is>
      </c>
      <c r="I421" s="10" t="inlineStr"/>
      <c r="J421" s="10" t="inlineStr">
        <is>
          <t>416-322-8877</t>
        </is>
      </c>
      <c r="K421" s="10" t="inlineStr"/>
      <c r="L421" s="13" t="inlineStr">
        <is>
          <t>Sit-down Chinese on Bayview, good for families and shared dishes.</t>
        </is>
      </c>
      <c r="M421" s="10" t="inlineStr">
        <is>
          <t>Not checked</t>
        </is>
      </c>
      <c r="N421" s="10" t="inlineStr">
        <is>
          <t>Target</t>
        </is>
      </c>
      <c r="S421" s="14" t="n"/>
      <c r="U421" s="14" t="n"/>
      <c r="X421" s="13" t="inlineStr"/>
      <c r="Y421" s="12" t="inlineStr">
        <is>
          <t>https://bayviewleasidebia.com/business-category/restaurants-bars-take-out/</t>
        </is>
      </c>
    </row>
    <row r="422">
      <c r="A422" s="10" t="n">
        <v>421</v>
      </c>
      <c r="B422" s="10" t="n">
        <v>2</v>
      </c>
      <c r="C422" s="11" t="inlineStr">
        <is>
          <t>Mayrik</t>
        </is>
      </c>
      <c r="D422" s="10" t="inlineStr">
        <is>
          <t>Leaside</t>
        </is>
      </c>
      <c r="E422" s="10" t="inlineStr">
        <is>
          <t>Restaurant</t>
        </is>
      </c>
      <c r="F422" s="10" t="inlineStr">
        <is>
          <t>Armenian, Eastern Mediterranean</t>
        </is>
      </c>
      <c r="G422" s="10" t="inlineStr">
        <is>
          <t>1580 Bayview Ave, Toronto, ON M4G 3B7</t>
        </is>
      </c>
      <c r="H422" s="10" t="inlineStr">
        <is>
          <t>mayrik.ca</t>
        </is>
      </c>
      <c r="I422" s="10" t="inlineStr"/>
      <c r="J422" s="10" t="inlineStr">
        <is>
          <t>416-483-0922</t>
        </is>
      </c>
      <c r="K422" s="10" t="inlineStr"/>
      <c r="L422" s="13" t="inlineStr">
        <is>
          <t>Leaside's best known sit-down room, a strong anchor for the area.</t>
        </is>
      </c>
      <c r="M422" s="10" t="inlineStr">
        <is>
          <t>Not checked</t>
        </is>
      </c>
      <c r="N422" s="10" t="inlineStr">
        <is>
          <t>Target</t>
        </is>
      </c>
      <c r="S422" s="14" t="n"/>
      <c r="U422" s="14" t="n"/>
      <c r="X422" s="13" t="inlineStr"/>
      <c r="Y422" s="12" t="inlineStr">
        <is>
          <t>https://bayviewleasidebia.com/business-category/restaurants-bars-take-out/</t>
        </is>
      </c>
    </row>
    <row r="423">
      <c r="A423" s="10" t="n">
        <v>422</v>
      </c>
      <c r="B423" s="10" t="n">
        <v>2</v>
      </c>
      <c r="C423" s="11" t="inlineStr">
        <is>
          <t>Mirage Mediterranean Restaurant</t>
        </is>
      </c>
      <c r="D423" s="10" t="inlineStr">
        <is>
          <t>Leaside</t>
        </is>
      </c>
      <c r="E423" s="10" t="inlineStr">
        <is>
          <t>Restaurant</t>
        </is>
      </c>
      <c r="F423" s="10" t="inlineStr">
        <is>
          <t>Lebanese</t>
        </is>
      </c>
      <c r="G423" s="10" t="inlineStr">
        <is>
          <t>1620 Bayview Ave, Toronto, ON M4G 3B7</t>
        </is>
      </c>
      <c r="H423" s="10" t="inlineStr"/>
      <c r="I423" s="10" t="inlineStr"/>
      <c r="J423" s="10" t="inlineStr"/>
      <c r="K423" s="10" t="inlineStr"/>
      <c r="L423" s="13" t="inlineStr">
        <is>
          <t>Highly rated Lebanese spot, an easy fit for a second main.</t>
        </is>
      </c>
      <c r="M423" s="10" t="inlineStr">
        <is>
          <t>Not checked</t>
        </is>
      </c>
      <c r="N423" s="10" t="inlineStr">
        <is>
          <t>Target</t>
        </is>
      </c>
      <c r="S423" s="14" t="n"/>
      <c r="U423" s="14" t="n"/>
      <c r="X423" s="13" t="inlineStr"/>
      <c r="Y423" s="12" t="inlineStr">
        <is>
          <t>https://bayviewleasidebia.com/business-category/restaurants-bars-take-out/</t>
        </is>
      </c>
    </row>
    <row r="424">
      <c r="A424" s="10" t="n">
        <v>423</v>
      </c>
      <c r="B424" s="10" t="n">
        <v>2</v>
      </c>
      <c r="C424" s="11" t="inlineStr">
        <is>
          <t>Pii Nong Thai</t>
        </is>
      </c>
      <c r="D424" s="10" t="inlineStr">
        <is>
          <t>Leaside</t>
        </is>
      </c>
      <c r="E424" s="10" t="inlineStr">
        <is>
          <t>Restaurant</t>
        </is>
      </c>
      <c r="F424" s="10" t="inlineStr">
        <is>
          <t>Thai</t>
        </is>
      </c>
      <c r="G424" s="10" t="inlineStr">
        <is>
          <t>1677 Bayview Ave, Toronto, ON M4G 3C1</t>
        </is>
      </c>
      <c r="H424" s="10" t="inlineStr">
        <is>
          <t>piinongthai.com</t>
        </is>
      </c>
      <c r="I424" s="10" t="inlineStr"/>
      <c r="J424" s="10" t="inlineStr">
        <is>
          <t>416-322-8828</t>
        </is>
      </c>
      <c r="K424" s="10" t="inlineStr"/>
      <c r="L424" s="13" t="inlineStr">
        <is>
          <t>Thai spot named as a new Winterlicious 2026 participant, so open to promotions.</t>
        </is>
      </c>
      <c r="M424" s="10" t="inlineStr">
        <is>
          <t>Not checked</t>
        </is>
      </c>
      <c r="N424" s="10" t="inlineStr">
        <is>
          <t>Target</t>
        </is>
      </c>
      <c r="S424" s="14" t="n"/>
      <c r="U424" s="14" t="n"/>
      <c r="X424" s="13" t="inlineStr">
        <is>
          <t>Check it's open before visiting: weak online evidence.</t>
        </is>
      </c>
      <c r="Y424" s="12" t="inlineStr">
        <is>
          <t>https://ritual.co/guides/toronto-leaside</t>
        </is>
      </c>
    </row>
    <row r="425">
      <c r="A425" s="10" t="n">
        <v>424</v>
      </c>
      <c r="B425" s="10" t="n">
        <v>2</v>
      </c>
      <c r="C425" s="11" t="inlineStr">
        <is>
          <t>The Fairway</t>
        </is>
      </c>
      <c r="D425" s="10" t="inlineStr">
        <is>
          <t>Leaside</t>
        </is>
      </c>
      <c r="E425" s="10" t="inlineStr">
        <is>
          <t>Restaurant</t>
        </is>
      </c>
      <c r="F425" s="10" t="inlineStr"/>
      <c r="G425" s="10" t="inlineStr">
        <is>
          <t>1660 Bayview Ave, Toronto, ON</t>
        </is>
      </c>
      <c r="H425" s="10" t="inlineStr">
        <is>
          <t>fairwayrestaurant.ca</t>
        </is>
      </c>
      <c r="I425" s="10" t="inlineStr"/>
      <c r="J425" s="10" t="inlineStr">
        <is>
          <t>416-481-5595</t>
        </is>
      </c>
      <c r="K425" s="10" t="inlineStr"/>
      <c r="L425" s="13" t="inlineStr">
        <is>
          <t>Long-standing Bayview room; confirm the menu style before reaching out.</t>
        </is>
      </c>
      <c r="M425" s="10" t="inlineStr">
        <is>
          <t>Not checked</t>
        </is>
      </c>
      <c r="N425" s="10" t="inlineStr">
        <is>
          <t>Target</t>
        </is>
      </c>
      <c r="S425" s="14" t="n"/>
      <c r="U425" s="14" t="n"/>
      <c r="X425" s="13" t="inlineStr"/>
      <c r="Y425" s="12" t="inlineStr">
        <is>
          <t>https://bayviewleasidebia.com/business-category/restaurants-bars-take-out/</t>
        </is>
      </c>
    </row>
    <row r="426">
      <c r="A426" s="10" t="n">
        <v>425</v>
      </c>
      <c r="B426" s="10" t="n">
        <v>2</v>
      </c>
      <c r="C426" s="11" t="inlineStr">
        <is>
          <t>Eggstatic</t>
        </is>
      </c>
      <c r="D426" s="10" t="inlineStr">
        <is>
          <t>Leaside</t>
        </is>
      </c>
      <c r="E426" s="10" t="inlineStr">
        <is>
          <t>Brunch</t>
        </is>
      </c>
      <c r="F426" s="10" t="inlineStr">
        <is>
          <t>Breakfast, brunch</t>
        </is>
      </c>
      <c r="G426" s="10" t="inlineStr">
        <is>
          <t>1568 Bayview Ave, Toronto, ON M4G 3B7</t>
        </is>
      </c>
      <c r="H426" s="10" t="inlineStr">
        <is>
          <t>eggstatic.ca</t>
        </is>
      </c>
      <c r="I426" s="10" t="inlineStr"/>
      <c r="J426" s="10" t="inlineStr">
        <is>
          <t>647-352-1568</t>
        </is>
      </c>
      <c r="K426" s="10" t="inlineStr"/>
      <c r="L426" s="13" t="inlineStr">
        <is>
          <t>Popular brunch spot; a weekday brunch offer could fill quiet mornings.</t>
        </is>
      </c>
      <c r="M426" s="10" t="inlineStr">
        <is>
          <t>Not checked</t>
        </is>
      </c>
      <c r="N426" s="10" t="inlineStr">
        <is>
          <t>Target</t>
        </is>
      </c>
      <c r="S426" s="14" t="n"/>
      <c r="U426" s="14" t="n"/>
      <c r="X426" s="13" t="inlineStr"/>
      <c r="Y426" s="12" t="inlineStr">
        <is>
          <t>https://bayviewleasidebia.com/business-category/restaurants-bars-take-out/</t>
        </is>
      </c>
    </row>
    <row r="427">
      <c r="A427" s="10" t="n">
        <v>426</v>
      </c>
      <c r="B427" s="10" t="n">
        <v>2</v>
      </c>
      <c r="C427" s="11" t="inlineStr">
        <is>
          <t>Tiarré's Brunch N Cakes</t>
        </is>
      </c>
      <c r="D427" s="10" t="inlineStr">
        <is>
          <t>Leaside</t>
        </is>
      </c>
      <c r="E427" s="10" t="inlineStr">
        <is>
          <t>Brunch</t>
        </is>
      </c>
      <c r="F427" s="10" t="inlineStr">
        <is>
          <t>Brunch, cakes</t>
        </is>
      </c>
      <c r="G427" s="10" t="inlineStr">
        <is>
          <t>1614 Bayview Ave, Toronto, ON M4G 3B7</t>
        </is>
      </c>
      <c r="H427" s="10" t="inlineStr">
        <is>
          <t>brunchncakes.com</t>
        </is>
      </c>
      <c r="I427" s="10" t="inlineStr"/>
      <c r="J427" s="10" t="inlineStr">
        <is>
          <t>416-485-1614</t>
        </is>
      </c>
      <c r="K427" s="10" t="inlineStr"/>
      <c r="L427" s="13" t="inlineStr">
        <is>
          <t>Brunch and cake spot that fits a second dessert or brunch offer.</t>
        </is>
      </c>
      <c r="M427" s="10" t="inlineStr">
        <is>
          <t>Not checked</t>
        </is>
      </c>
      <c r="N427" s="10" t="inlineStr">
        <is>
          <t>Target</t>
        </is>
      </c>
      <c r="S427" s="14" t="n"/>
      <c r="U427" s="14" t="n"/>
      <c r="X427" s="13" t="inlineStr"/>
      <c r="Y427" s="12" t="inlineStr">
        <is>
          <t>https://bayviewleasidebia.com/business-category/restaurants-bars-take-out/</t>
        </is>
      </c>
    </row>
    <row r="428">
      <c r="A428" s="10" t="n">
        <v>427</v>
      </c>
      <c r="B428" s="10" t="n">
        <v>2</v>
      </c>
      <c r="C428" s="11" t="inlineStr">
        <is>
          <t>Two Wheels Cafe</t>
        </is>
      </c>
      <c r="D428" s="10" t="inlineStr">
        <is>
          <t>Leaside</t>
        </is>
      </c>
      <c r="E428" s="10" t="inlineStr">
        <is>
          <t>Café</t>
        </is>
      </c>
      <c r="F428" s="10" t="inlineStr">
        <is>
          <t>Coffee, breakfast</t>
        </is>
      </c>
      <c r="G428" s="10" t="inlineStr">
        <is>
          <t>1588 Bayview Ave, Toronto, ON M4G 3B7</t>
        </is>
      </c>
      <c r="H428" s="10" t="inlineStr">
        <is>
          <t>twcleaside.square.site</t>
        </is>
      </c>
      <c r="I428" s="10" t="inlineStr"/>
      <c r="J428" s="10" t="inlineStr">
        <is>
          <t>416-342-4112</t>
        </is>
      </c>
      <c r="K428" s="10" t="inlineStr"/>
      <c r="L428" s="13" t="inlineStr">
        <is>
          <t>Local café with breakfast, good for a coffee and croissant offer.</t>
        </is>
      </c>
      <c r="M428" s="10" t="inlineStr">
        <is>
          <t>Not checked</t>
        </is>
      </c>
      <c r="N428" s="10" t="inlineStr">
        <is>
          <t>Target</t>
        </is>
      </c>
      <c r="S428" s="14" t="n"/>
      <c r="U428" s="14" t="n"/>
      <c r="X428" s="13" t="inlineStr"/>
      <c r="Y428" s="12" t="inlineStr">
        <is>
          <t>https://bayviewleasidebia.com/business-category/bakery-dessert-cafe/</t>
        </is>
      </c>
    </row>
    <row r="429">
      <c r="A429" s="10" t="n">
        <v>428</v>
      </c>
      <c r="B429" s="10" t="n">
        <v>2</v>
      </c>
      <c r="C429" s="11" t="inlineStr">
        <is>
          <t>Patisserie la Cigogne</t>
        </is>
      </c>
      <c r="D429" s="10" t="inlineStr">
        <is>
          <t>Leaside</t>
        </is>
      </c>
      <c r="E429" s="10" t="inlineStr">
        <is>
          <t>Bakery</t>
        </is>
      </c>
      <c r="F429" s="10" t="inlineStr">
        <is>
          <t>French patisserie</t>
        </is>
      </c>
      <c r="G429" s="10" t="inlineStr">
        <is>
          <t>1626 Bayview Ave, Toronto, ON M4G 3B7</t>
        </is>
      </c>
      <c r="H429" s="10" t="inlineStr">
        <is>
          <t>patisserielacigogne.com</t>
        </is>
      </c>
      <c r="I429" s="10" t="inlineStr"/>
      <c r="J429" s="10" t="inlineStr">
        <is>
          <t>416-487-1234</t>
        </is>
      </c>
      <c r="K429" s="10" t="inlineStr"/>
      <c r="L429" s="13" t="inlineStr">
        <is>
          <t>Classic Bayview patisserie, a fit for a pastry and coffee for two offer.</t>
        </is>
      </c>
      <c r="M429" s="10" t="inlineStr">
        <is>
          <t>Not checked</t>
        </is>
      </c>
      <c r="N429" s="10" t="inlineStr">
        <is>
          <t>Target</t>
        </is>
      </c>
      <c r="S429" s="14" t="n"/>
      <c r="U429" s="14" t="n"/>
      <c r="X429" s="13" t="inlineStr"/>
      <c r="Y429" s="12" t="inlineStr">
        <is>
          <t>https://bayviewleasidebia.com/business-category/bakery-dessert-cafe/</t>
        </is>
      </c>
    </row>
    <row r="430">
      <c r="A430" s="10" t="n">
        <v>429</v>
      </c>
      <c r="B430" s="10" t="n">
        <v>2</v>
      </c>
      <c r="C430" s="11" t="inlineStr">
        <is>
          <t>Rahier Patisserie</t>
        </is>
      </c>
      <c r="D430" s="10" t="inlineStr">
        <is>
          <t>Leaside</t>
        </is>
      </c>
      <c r="E430" s="10" t="inlineStr">
        <is>
          <t>Bakery</t>
        </is>
      </c>
      <c r="F430" s="10" t="inlineStr">
        <is>
          <t>French patisserie</t>
        </is>
      </c>
      <c r="G430" s="10" t="inlineStr">
        <is>
          <t>1586 Bayview Ave, Toronto, ON M4G 3B7</t>
        </is>
      </c>
      <c r="H430" s="10" t="inlineStr">
        <is>
          <t>rahierpatisserie.com</t>
        </is>
      </c>
      <c r="I430" s="10" t="inlineStr"/>
      <c r="J430" s="10" t="inlineStr">
        <is>
          <t>416-482-0917</t>
        </is>
      </c>
      <c r="K430" s="10" t="inlineStr"/>
      <c r="L430" s="13" t="inlineStr">
        <is>
          <t>Respected French patisserie, a premium fit for a pastry for two offer.</t>
        </is>
      </c>
      <c r="M430" s="10" t="inlineStr">
        <is>
          <t>Not checked</t>
        </is>
      </c>
      <c r="N430" s="10" t="inlineStr">
        <is>
          <t>Target</t>
        </is>
      </c>
      <c r="S430" s="14" t="n"/>
      <c r="U430" s="14" t="n"/>
      <c r="X430" s="13" t="inlineStr"/>
      <c r="Y430" s="12" t="inlineStr">
        <is>
          <t>https://bayviewleasidebia.com/business-category/bakery-dessert-cafe/</t>
        </is>
      </c>
    </row>
    <row r="431">
      <c r="A431" s="10" t="n">
        <v>430</v>
      </c>
      <c r="B431" s="10" t="n">
        <v>2</v>
      </c>
      <c r="C431" s="11" t="inlineStr">
        <is>
          <t>Agak Agak</t>
        </is>
      </c>
      <c r="D431" s="10" t="inlineStr">
        <is>
          <t>Riverdale</t>
        </is>
      </c>
      <c r="E431" s="10" t="inlineStr">
        <is>
          <t>Restaurant</t>
        </is>
      </c>
      <c r="F431" s="10" t="inlineStr"/>
      <c r="G431" s="10" t="inlineStr">
        <is>
          <t>Gerrard St E, Toronto, ON</t>
        </is>
      </c>
      <c r="H431" s="10" t="inlineStr"/>
      <c r="I431" s="10" t="inlineStr"/>
      <c r="J431" s="10" t="inlineStr"/>
      <c r="K431" s="10" t="inlineStr"/>
      <c r="L431" s="13" t="inlineStr">
        <is>
          <t>Newer Gerrard East opening from 2025 that may want new diners.</t>
        </is>
      </c>
      <c r="M431" s="10" t="inlineStr">
        <is>
          <t>Not checked</t>
        </is>
      </c>
      <c r="N431" s="10" t="inlineStr">
        <is>
          <t>Target</t>
        </is>
      </c>
      <c r="S431" s="14" t="n"/>
      <c r="U431" s="14" t="n"/>
      <c r="X431" s="13" t="inlineStr">
        <is>
          <t>Check it's open before visiting: weak online evidence.</t>
        </is>
      </c>
      <c r="Y431" s="12" t="inlineStr">
        <is>
          <t>https://www.hungryonion.org/t/greater-toronto-area-openings-of-2025/42384?page=4</t>
        </is>
      </c>
    </row>
    <row r="432">
      <c r="A432" s="10" t="n">
        <v>431</v>
      </c>
      <c r="B432" s="10" t="n">
        <v>2</v>
      </c>
      <c r="C432" s="11" t="inlineStr">
        <is>
          <t>El Cazo</t>
        </is>
      </c>
      <c r="D432" s="10" t="inlineStr">
        <is>
          <t>Riverdale</t>
        </is>
      </c>
      <c r="E432" s="10" t="inlineStr">
        <is>
          <t>Restaurant</t>
        </is>
      </c>
      <c r="F432" s="10" t="inlineStr">
        <is>
          <t>Mexican</t>
        </is>
      </c>
      <c r="G432" s="10" t="inlineStr">
        <is>
          <t>Queen St E, Toronto, ON</t>
        </is>
      </c>
      <c r="H432" s="10" t="inlineStr"/>
      <c r="I432" s="10" t="inlineStr"/>
      <c r="J432" s="10" t="inlineStr"/>
      <c r="K432" s="10" t="inlineStr"/>
      <c r="L432" s="13" t="inlineStr">
        <is>
          <t>Mexican grill on Queen East, good for a tacos for two offer.</t>
        </is>
      </c>
      <c r="M432" s="10" t="inlineStr">
        <is>
          <t>Not checked</t>
        </is>
      </c>
      <c r="N432" s="10" t="inlineStr">
        <is>
          <t>Target</t>
        </is>
      </c>
      <c r="S432" s="14" t="n"/>
      <c r="U432" s="14" t="n"/>
      <c r="X432" s="13" t="inlineStr">
        <is>
          <t>Check it's open before visiting: weak online evidence.</t>
        </is>
      </c>
      <c r="Y432" s="12" t="inlineStr">
        <is>
          <t>https://www.opentable.com/neighborhood/n/toronto/leslieville-riverdale-restaurants</t>
        </is>
      </c>
    </row>
    <row r="433">
      <c r="A433" s="10" t="n">
        <v>432</v>
      </c>
      <c r="B433" s="10" t="n">
        <v>2</v>
      </c>
      <c r="C433" s="11" t="inlineStr">
        <is>
          <t>Il Ponte</t>
        </is>
      </c>
      <c r="D433" s="10" t="inlineStr">
        <is>
          <t>Riverdale</t>
        </is>
      </c>
      <c r="E433" s="10" t="inlineStr">
        <is>
          <t>Restaurant</t>
        </is>
      </c>
      <c r="F433" s="10" t="inlineStr">
        <is>
          <t>Italian</t>
        </is>
      </c>
      <c r="G433" s="10" t="inlineStr">
        <is>
          <t>625 Queen St E, Toronto, ON</t>
        </is>
      </c>
      <c r="H433" s="10" t="inlineStr"/>
      <c r="I433" s="10" t="inlineStr"/>
      <c r="J433" s="10" t="inlineStr">
        <is>
          <t>416-778-0404</t>
        </is>
      </c>
      <c r="K433" s="10" t="inlineStr">
        <is>
          <t>$$</t>
        </is>
      </c>
      <c r="L433" s="13" t="inlineStr">
        <is>
          <t>Top rated Riverside Italian, a strong anchor for the area.</t>
        </is>
      </c>
      <c r="M433" s="10" t="inlineStr">
        <is>
          <t>Not checked</t>
        </is>
      </c>
      <c r="N433" s="10" t="inlineStr">
        <is>
          <t>Target</t>
        </is>
      </c>
      <c r="S433" s="14" t="n"/>
      <c r="U433" s="14" t="n"/>
      <c r="X433" s="13" t="inlineStr"/>
      <c r="Y433" s="12" t="inlineStr">
        <is>
          <t>https://www.opentable.com/neighborhood/n/toronto/leslieville-riverdale-restaurants</t>
        </is>
      </c>
    </row>
    <row r="434">
      <c r="A434" s="10" t="n">
        <v>433</v>
      </c>
      <c r="B434" s="10" t="n">
        <v>2</v>
      </c>
      <c r="C434" s="11" t="inlineStr">
        <is>
          <t>Lahore Tikka House</t>
        </is>
      </c>
      <c r="D434" s="10" t="inlineStr">
        <is>
          <t>Riverdale</t>
        </is>
      </c>
      <c r="E434" s="10" t="inlineStr">
        <is>
          <t>Restaurant</t>
        </is>
      </c>
      <c r="F434" s="10" t="inlineStr">
        <is>
          <t>Pakistani</t>
        </is>
      </c>
      <c r="G434" s="10" t="inlineStr">
        <is>
          <t>1365 Gerrard St E, Toronto, ON</t>
        </is>
      </c>
      <c r="H434" s="10" t="inlineStr">
        <is>
          <t>lahoretikkahouse.com</t>
        </is>
      </c>
      <c r="I434" s="10" t="inlineStr"/>
      <c r="J434" s="10" t="inlineStr"/>
      <c r="K434" s="10" t="inlineStr"/>
      <c r="L434" s="13" t="inlineStr">
        <is>
          <t>Gerrard institution since 1996, good for groups and a second main offer.</t>
        </is>
      </c>
      <c r="M434" s="10" t="inlineStr">
        <is>
          <t>Not checked</t>
        </is>
      </c>
      <c r="N434" s="10" t="inlineStr">
        <is>
          <t>Target</t>
        </is>
      </c>
      <c r="S434" s="14" t="n"/>
      <c r="U434" s="14" t="n"/>
      <c r="X434" s="13" t="inlineStr"/>
      <c r="Y434" s="12" t="inlineStr">
        <is>
          <t>https://spottedbylocals.com/toronto/lahore-tikka-house</t>
        </is>
      </c>
    </row>
    <row r="435">
      <c r="A435" s="10" t="n">
        <v>434</v>
      </c>
      <c r="B435" s="10" t="n">
        <v>2</v>
      </c>
      <c r="C435" s="11" t="inlineStr">
        <is>
          <t>Lake Inez</t>
        </is>
      </c>
      <c r="D435" s="10" t="inlineStr">
        <is>
          <t>Riverdale</t>
        </is>
      </c>
      <c r="E435" s="10" t="inlineStr">
        <is>
          <t>Restaurant</t>
        </is>
      </c>
      <c r="F435" s="10" t="inlineStr">
        <is>
          <t>Pan-Asian small plates</t>
        </is>
      </c>
      <c r="G435" s="10" t="inlineStr">
        <is>
          <t>Gerrard St E, Toronto, ON</t>
        </is>
      </c>
      <c r="H435" s="10" t="inlineStr"/>
      <c r="I435" s="10" t="inlineStr"/>
      <c r="J435" s="10" t="inlineStr"/>
      <c r="K435" s="10" t="inlineStr"/>
      <c r="L435" s="13" t="inlineStr">
        <is>
          <t>Chef-run east end favourite, good for a weeknight offer Tuesday to Thursday.</t>
        </is>
      </c>
      <c r="M435" s="10" t="inlineStr">
        <is>
          <t>Not checked</t>
        </is>
      </c>
      <c r="N435" s="10" t="inlineStr">
        <is>
          <t>Target</t>
        </is>
      </c>
      <c r="S435" s="14" t="n"/>
      <c r="U435" s="14" t="n"/>
      <c r="X435" s="13" t="inlineStr">
        <is>
          <t>Check it's open before visiting: weak online evidence.</t>
        </is>
      </c>
      <c r="Y435" s="12" t="inlineStr">
        <is>
          <t>https://tablejourney.com/neighborhood/toronto/little-india/</t>
        </is>
      </c>
    </row>
    <row r="436">
      <c r="A436" s="10" t="n">
        <v>435</v>
      </c>
      <c r="B436" s="10" t="n">
        <v>2</v>
      </c>
      <c r="C436" s="11" t="inlineStr">
        <is>
          <t>Tabule on Queen</t>
        </is>
      </c>
      <c r="D436" s="10" t="inlineStr">
        <is>
          <t>Riverdale</t>
        </is>
      </c>
      <c r="E436" s="10" t="inlineStr">
        <is>
          <t>Restaurant</t>
        </is>
      </c>
      <c r="F436" s="10" t="inlineStr">
        <is>
          <t>Middle Eastern</t>
        </is>
      </c>
      <c r="G436" s="10" t="inlineStr">
        <is>
          <t>810 Queen St E, Toronto, ON</t>
        </is>
      </c>
      <c r="H436" s="10" t="inlineStr"/>
      <c r="I436" s="10" t="inlineStr"/>
      <c r="J436" s="10" t="inlineStr"/>
      <c r="K436" s="10" t="inlineStr"/>
      <c r="L436" s="13" t="inlineStr">
        <is>
          <t>Well loved Middle Eastern spot; small local group, so check fit.</t>
        </is>
      </c>
      <c r="M436" s="10" t="inlineStr">
        <is>
          <t>Not checked</t>
        </is>
      </c>
      <c r="N436" s="10" t="inlineStr">
        <is>
          <t>Target</t>
        </is>
      </c>
      <c r="S436" s="14" t="n"/>
      <c r="U436" s="14" t="n"/>
      <c r="X436" s="13" t="inlineStr"/>
      <c r="Y436" s="12" t="inlineStr">
        <is>
          <t>https://www.opentable.com/neighborhood/n/toronto/leslieville-riverdale-restaurants</t>
        </is>
      </c>
    </row>
    <row r="437">
      <c r="A437" s="10" t="n">
        <v>436</v>
      </c>
      <c r="B437" s="10" t="n">
        <v>2</v>
      </c>
      <c r="C437" s="11" t="inlineStr">
        <is>
          <t>Wynona</t>
        </is>
      </c>
      <c r="D437" s="10" t="inlineStr">
        <is>
          <t>Riverdale</t>
        </is>
      </c>
      <c r="E437" s="10" t="inlineStr">
        <is>
          <t>Restaurant</t>
        </is>
      </c>
      <c r="F437" s="10" t="inlineStr">
        <is>
          <t>Pasta, Italian</t>
        </is>
      </c>
      <c r="G437" s="10" t="inlineStr">
        <is>
          <t>819 Gerrard St E, Toronto, ON</t>
        </is>
      </c>
      <c r="H437" s="10" t="inlineStr"/>
      <c r="I437" s="12" t="inlineStr">
        <is>
          <t>@wynonatoronto</t>
        </is>
      </c>
      <c r="J437" s="10" t="inlineStr"/>
      <c r="K437" s="10" t="inlineStr"/>
      <c r="L437" s="13" t="inlineStr">
        <is>
          <t>Pasta and wine spot whose team is growing, so likely open to new ideas.</t>
        </is>
      </c>
      <c r="M437" s="10" t="inlineStr">
        <is>
          <t>Not checked</t>
        </is>
      </c>
      <c r="N437" s="10" t="inlineStr">
        <is>
          <t>Target</t>
        </is>
      </c>
      <c r="S437" s="14" t="n"/>
      <c r="U437" s="14" t="n"/>
      <c r="X437" s="13" t="inlineStr"/>
      <c r="Y437" s="12" t="inlineStr">
        <is>
          <t>https://streetsoftoronto.com/uncategorized/torontos-most-anticipated-restaurant-openings/</t>
        </is>
      </c>
    </row>
    <row r="438">
      <c r="A438" s="10" t="n">
        <v>437</v>
      </c>
      <c r="B438" s="10" t="n">
        <v>2</v>
      </c>
      <c r="C438" s="11" t="inlineStr">
        <is>
          <t>ēst Restaurant</t>
        </is>
      </c>
      <c r="D438" s="10" t="inlineStr">
        <is>
          <t>Riverdale</t>
        </is>
      </c>
      <c r="E438" s="10" t="inlineStr">
        <is>
          <t>Restaurant</t>
        </is>
      </c>
      <c r="F438" s="10" t="inlineStr">
        <is>
          <t>Modern European</t>
        </is>
      </c>
      <c r="G438" s="10" t="inlineStr">
        <is>
          <t>729 Queen St E, Toronto, ON M4M 1H1</t>
        </is>
      </c>
      <c r="H438" s="10" t="inlineStr">
        <is>
          <t>estrestaurant.ca</t>
        </is>
      </c>
      <c r="I438" s="12" t="inlineStr">
        <is>
          <t>@est.restaurant</t>
        </is>
      </c>
      <c r="J438" s="10" t="inlineStr"/>
      <c r="K438" s="10" t="inlineStr"/>
      <c r="L438" s="13" t="inlineStr">
        <is>
          <t>Refined Riverside room with brunch, good for a date night or brunch offer.</t>
        </is>
      </c>
      <c r="M438" s="10" t="inlineStr">
        <is>
          <t>Not checked</t>
        </is>
      </c>
      <c r="N438" s="10" t="inlineStr">
        <is>
          <t>Target</t>
        </is>
      </c>
      <c r="S438" s="14" t="n"/>
      <c r="U438" s="14" t="n"/>
      <c r="X438" s="13" t="inlineStr"/>
      <c r="Y438" s="12" t="inlineStr">
        <is>
          <t>https://www.opentable.com/neighborhood/n/toronto/leslieville-riverdale-restaurants</t>
        </is>
      </c>
    </row>
    <row r="439">
      <c r="A439" s="10" t="n">
        <v>438</v>
      </c>
      <c r="B439" s="10" t="n">
        <v>2</v>
      </c>
      <c r="C439" s="11" t="inlineStr">
        <is>
          <t>Lady Marmalade</t>
        </is>
      </c>
      <c r="D439" s="10" t="inlineStr">
        <is>
          <t>Riverdale</t>
        </is>
      </c>
      <c r="E439" s="10" t="inlineStr">
        <is>
          <t>Brunch</t>
        </is>
      </c>
      <c r="F439" s="10" t="inlineStr">
        <is>
          <t>Brunch</t>
        </is>
      </c>
      <c r="G439" s="10" t="inlineStr">
        <is>
          <t>265 Broadview Ave, Toronto, ON</t>
        </is>
      </c>
      <c r="H439" s="10" t="inlineStr"/>
      <c r="I439" s="10" t="inlineStr"/>
      <c r="J439" s="10" t="inlineStr"/>
      <c r="K439" s="10" t="inlineStr"/>
      <c r="L439" s="13" t="inlineStr">
        <is>
          <t>Walk-in brunch favourite with weekend lines; a weekday offer could spread demand.</t>
        </is>
      </c>
      <c r="M439" s="10" t="inlineStr">
        <is>
          <t>Not checked</t>
        </is>
      </c>
      <c r="N439" s="10" t="inlineStr">
        <is>
          <t>Target</t>
        </is>
      </c>
      <c r="S439" s="14" t="n"/>
      <c r="U439" s="14" t="n"/>
      <c r="X439" s="13" t="inlineStr">
        <is>
          <t>Check it's open before visiting: weak online evidence.</t>
        </is>
      </c>
      <c r="Y439" s="12" t="inlineStr">
        <is>
          <t>https://www.tastetoronto.com/guides/the-best-brunch-in-toronto-by-neighbourhood</t>
        </is>
      </c>
    </row>
    <row r="440">
      <c r="A440" s="10" t="n">
        <v>439</v>
      </c>
      <c r="B440" s="10" t="n">
        <v>2</v>
      </c>
      <c r="C440" s="11" t="inlineStr">
        <is>
          <t>Maha's</t>
        </is>
      </c>
      <c r="D440" s="10" t="inlineStr">
        <is>
          <t>Riverdale</t>
        </is>
      </c>
      <c r="E440" s="10" t="inlineStr">
        <is>
          <t>Brunch</t>
        </is>
      </c>
      <c r="F440" s="10" t="inlineStr">
        <is>
          <t>Egyptian brunch</t>
        </is>
      </c>
      <c r="G440" s="10" t="inlineStr">
        <is>
          <t>226 Greenwood Ave, Toronto, ON</t>
        </is>
      </c>
      <c r="H440" s="10" t="inlineStr"/>
      <c r="I440" s="10" t="inlineStr"/>
      <c r="J440" s="10" t="inlineStr"/>
      <c r="K440" s="10" t="inlineStr"/>
      <c r="L440" s="13" t="inlineStr">
        <is>
          <t>Michelin listed family brunch spot near Gerrard, a standout for the area.</t>
        </is>
      </c>
      <c r="M440" s="10" t="inlineStr">
        <is>
          <t>Not checked</t>
        </is>
      </c>
      <c r="N440" s="10" t="inlineStr">
        <is>
          <t>Target</t>
        </is>
      </c>
      <c r="S440" s="14" t="n"/>
      <c r="U440" s="14" t="n"/>
      <c r="X440" s="13" t="inlineStr"/>
      <c r="Y440" s="12" t="inlineStr">
        <is>
          <t>https://spottedbylocals.com/toronto/mahas-egyptian-brunch</t>
        </is>
      </c>
    </row>
    <row r="441">
      <c r="A441" s="10" t="n">
        <v>440</v>
      </c>
      <c r="B441" s="10" t="n">
        <v>2</v>
      </c>
      <c r="C441" s="11" t="inlineStr">
        <is>
          <t>White Lily Diner</t>
        </is>
      </c>
      <c r="D441" s="10" t="inlineStr">
        <is>
          <t>Riverdale</t>
        </is>
      </c>
      <c r="E441" s="10" t="inlineStr">
        <is>
          <t>Brunch</t>
        </is>
      </c>
      <c r="F441" s="10" t="inlineStr">
        <is>
          <t>Diner, brunch</t>
        </is>
      </c>
      <c r="G441" s="10" t="inlineStr">
        <is>
          <t>678 Queen St E, Toronto, ON M4M 1G8</t>
        </is>
      </c>
      <c r="H441" s="10" t="inlineStr"/>
      <c r="I441" s="12" t="inlineStr">
        <is>
          <t>@whitelilydiner</t>
        </is>
      </c>
      <c r="J441" s="10" t="inlineStr"/>
      <c r="K441" s="10" t="inlineStr"/>
      <c r="L441" s="13" t="inlineStr">
        <is>
          <t>Riverside diner with house-made bread, good for a weekday brunch offer.</t>
        </is>
      </c>
      <c r="M441" s="10" t="inlineStr">
        <is>
          <t>Not checked</t>
        </is>
      </c>
      <c r="N441" s="10" t="inlineStr">
        <is>
          <t>Target</t>
        </is>
      </c>
      <c r="S441" s="14" t="n"/>
      <c r="U441" s="14" t="n"/>
      <c r="X441" s="13" t="inlineStr">
        <is>
          <t>Check it's open before visiting: weak online evidence.</t>
        </is>
      </c>
      <c r="Y441" s="12" t="inlineStr">
        <is>
          <t>https://riverside-to.com/must-try-brunch-spots-in-toronto-riverside/</t>
        </is>
      </c>
    </row>
    <row r="442">
      <c r="A442" s="10" t="n">
        <v>441</v>
      </c>
      <c r="B442" s="10" t="n">
        <v>2</v>
      </c>
      <c r="C442" s="11" t="inlineStr">
        <is>
          <t>Bonjour Brioche</t>
        </is>
      </c>
      <c r="D442" s="10" t="inlineStr">
        <is>
          <t>Riverdale</t>
        </is>
      </c>
      <c r="E442" s="10" t="inlineStr">
        <is>
          <t>Bakery</t>
        </is>
      </c>
      <c r="F442" s="10" t="inlineStr">
        <is>
          <t>French bakery, brunch</t>
        </is>
      </c>
      <c r="G442" s="10" t="inlineStr">
        <is>
          <t>812 Queen St E, Toronto, ON M4M 1H7</t>
        </is>
      </c>
      <c r="H442" s="10" t="inlineStr">
        <is>
          <t>bonjourbrioche.com</t>
        </is>
      </c>
      <c r="I442" s="12" t="inlineStr">
        <is>
          <t>@bonjour_brioche</t>
        </is>
      </c>
      <c r="J442" s="10" t="inlineStr"/>
      <c r="K442" s="10" t="inlineStr"/>
      <c r="L442" s="13" t="inlineStr">
        <is>
          <t>French bakery and brunch room, a fit for a second pastry or plate.</t>
        </is>
      </c>
      <c r="M442" s="10" t="inlineStr">
        <is>
          <t>Not checked</t>
        </is>
      </c>
      <c r="N442" s="10" t="inlineStr">
        <is>
          <t>Target</t>
        </is>
      </c>
      <c r="S442" s="14" t="n"/>
      <c r="U442" s="14" t="n"/>
      <c r="X442" s="13" t="inlineStr">
        <is>
          <t>Check it's open before visiting: weak online evidence.</t>
        </is>
      </c>
      <c r="Y442" s="12" t="inlineStr">
        <is>
          <t>https://riverside-to.com/must-try-brunch-spots-in-toronto-riverside/</t>
        </is>
      </c>
    </row>
  </sheetData>
  <autoFilter ref="A1:Y442"/>
  <conditionalFormatting sqref="A2:Y642">
    <cfRule type="expression" priority="1" dxfId="0">
      <formula>$N2="Contacted"</formula>
    </cfRule>
    <cfRule type="expression" priority="2" dxfId="1">
      <formula>$N2="Meeting booked"</formula>
    </cfRule>
    <cfRule type="expression" priority="3" dxfId="2">
      <formula>$N2="Met"</formula>
    </cfRule>
    <cfRule type="expression" priority="4" dxfId="3">
      <formula>$N2="LOI signed"</formula>
    </cfRule>
    <cfRule type="expression" priority="5" dxfId="4">
      <formula>$N2="Agreement signed"</formula>
    </cfRule>
    <cfRule type="expression" priority="6" dxfId="5">
      <formula>$N2="Not now"</formula>
    </cfRule>
  </conditionalFormatting>
  <conditionalFormatting sqref="U2:U642">
    <cfRule type="expression" priority="7" dxfId="6">
      <formula>AND(U2&lt;&gt;"",U2&lt;TODAY(),$N2&lt;&gt;"Agreement signed",$N2&lt;&gt;"Not now")</formula>
    </cfRule>
  </conditionalFormatting>
  <conditionalFormatting sqref="M2:M642">
    <cfRule type="cellIs" priority="8" operator="equal" dxfId="7">
      <formula>"Closed"</formula>
    </cfRule>
  </conditionalFormatting>
  <dataValidations count="6">
    <dataValidation sqref="N2:N642" showDropDown="0" showInputMessage="0" showErrorMessage="1" allowBlank="1" errorTitle="Not in the list" error="Pick one from the list." type="list">
      <formula1>=Lists!$A$2:$A$8</formula1>
    </dataValidation>
    <dataValidation sqref="D2:D642" showDropDown="0" showInputMessage="0" showErrorMessage="1" allowBlank="1" errorTitle="Not in the list" error="Pick one from the list." type="list">
      <formula1>=Lists!$B$2:$B$22</formula1>
    </dataValidation>
    <dataValidation sqref="E2:E642" showDropDown="0" showInputMessage="0" showErrorMessage="1" allowBlank="1" errorTitle="Not in the list" error="Pick one from the list." type="list">
      <formula1>=Lists!$C$2:$C$9</formula1>
    </dataValidation>
    <dataValidation sqref="R2:R642" showDropDown="0" showInputMessage="0" showErrorMessage="1" allowBlank="1" errorTitle="Not in the list" error="Pick one from the list." type="list">
      <formula1>=Lists!$D$2:$D$7</formula1>
    </dataValidation>
    <dataValidation sqref="M2:M642" showDropDown="0" showInputMessage="0" showErrorMessage="1" allowBlank="1" errorTitle="Not in the list" error="Pick one from the list." type="list">
      <formula1>=Lists!$E$2:$E$4</formula1>
    </dataValidation>
    <dataValidation sqref="S2:S642 U2:U642" showDropDown="0" showInputMessage="0" showErrorMessage="0" allowBlank="1" type="date" operator="greaterThan">
      <formula1>DATE(2026,1,1)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Y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Y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Y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Y5" r:id="rId12"/>
    <hyperlink xmlns:r="http://schemas.openxmlformats.org/officeDocument/2006/relationships" ref="H6" r:id="rId13"/>
    <hyperlink xmlns:r="http://schemas.openxmlformats.org/officeDocument/2006/relationships" ref="Y6" r:id="rId14"/>
    <hyperlink xmlns:r="http://schemas.openxmlformats.org/officeDocument/2006/relationships" ref="I7" r:id="rId15"/>
    <hyperlink xmlns:r="http://schemas.openxmlformats.org/officeDocument/2006/relationships" ref="Y7" r:id="rId16"/>
    <hyperlink xmlns:r="http://schemas.openxmlformats.org/officeDocument/2006/relationships" ref="H8" r:id="rId17"/>
    <hyperlink xmlns:r="http://schemas.openxmlformats.org/officeDocument/2006/relationships" ref="Y8" r:id="rId18"/>
    <hyperlink xmlns:r="http://schemas.openxmlformats.org/officeDocument/2006/relationships" ref="H9" r:id="rId19"/>
    <hyperlink xmlns:r="http://schemas.openxmlformats.org/officeDocument/2006/relationships" ref="I9" r:id="rId20"/>
    <hyperlink xmlns:r="http://schemas.openxmlformats.org/officeDocument/2006/relationships" ref="Y9" r:id="rId21"/>
    <hyperlink xmlns:r="http://schemas.openxmlformats.org/officeDocument/2006/relationships" ref="H10" r:id="rId22"/>
    <hyperlink xmlns:r="http://schemas.openxmlformats.org/officeDocument/2006/relationships" ref="I10" r:id="rId23"/>
    <hyperlink xmlns:r="http://schemas.openxmlformats.org/officeDocument/2006/relationships" ref="Y10" r:id="rId24"/>
    <hyperlink xmlns:r="http://schemas.openxmlformats.org/officeDocument/2006/relationships" ref="H11" r:id="rId25"/>
    <hyperlink xmlns:r="http://schemas.openxmlformats.org/officeDocument/2006/relationships" ref="I11" r:id="rId26"/>
    <hyperlink xmlns:r="http://schemas.openxmlformats.org/officeDocument/2006/relationships" ref="Y11" r:id="rId27"/>
    <hyperlink xmlns:r="http://schemas.openxmlformats.org/officeDocument/2006/relationships" ref="H12" r:id="rId28"/>
    <hyperlink xmlns:r="http://schemas.openxmlformats.org/officeDocument/2006/relationships" ref="I12" r:id="rId29"/>
    <hyperlink xmlns:r="http://schemas.openxmlformats.org/officeDocument/2006/relationships" ref="Y12" r:id="rId30"/>
    <hyperlink xmlns:r="http://schemas.openxmlformats.org/officeDocument/2006/relationships" ref="H13" r:id="rId31"/>
    <hyperlink xmlns:r="http://schemas.openxmlformats.org/officeDocument/2006/relationships" ref="I13" r:id="rId32"/>
    <hyperlink xmlns:r="http://schemas.openxmlformats.org/officeDocument/2006/relationships" ref="Y13" r:id="rId33"/>
    <hyperlink xmlns:r="http://schemas.openxmlformats.org/officeDocument/2006/relationships" ref="H14" r:id="rId34"/>
    <hyperlink xmlns:r="http://schemas.openxmlformats.org/officeDocument/2006/relationships" ref="I14" r:id="rId35"/>
    <hyperlink xmlns:r="http://schemas.openxmlformats.org/officeDocument/2006/relationships" ref="Y14" r:id="rId36"/>
    <hyperlink xmlns:r="http://schemas.openxmlformats.org/officeDocument/2006/relationships" ref="H15" r:id="rId37"/>
    <hyperlink xmlns:r="http://schemas.openxmlformats.org/officeDocument/2006/relationships" ref="I15" r:id="rId38"/>
    <hyperlink xmlns:r="http://schemas.openxmlformats.org/officeDocument/2006/relationships" ref="Y15" r:id="rId39"/>
    <hyperlink xmlns:r="http://schemas.openxmlformats.org/officeDocument/2006/relationships" ref="H16" r:id="rId40"/>
    <hyperlink xmlns:r="http://schemas.openxmlformats.org/officeDocument/2006/relationships" ref="I16" r:id="rId41"/>
    <hyperlink xmlns:r="http://schemas.openxmlformats.org/officeDocument/2006/relationships" ref="Y16" r:id="rId42"/>
    <hyperlink xmlns:r="http://schemas.openxmlformats.org/officeDocument/2006/relationships" ref="H17" r:id="rId43"/>
    <hyperlink xmlns:r="http://schemas.openxmlformats.org/officeDocument/2006/relationships" ref="Y17" r:id="rId44"/>
    <hyperlink xmlns:r="http://schemas.openxmlformats.org/officeDocument/2006/relationships" ref="H18" r:id="rId45"/>
    <hyperlink xmlns:r="http://schemas.openxmlformats.org/officeDocument/2006/relationships" ref="I18" r:id="rId46"/>
    <hyperlink xmlns:r="http://schemas.openxmlformats.org/officeDocument/2006/relationships" ref="Y18" r:id="rId47"/>
    <hyperlink xmlns:r="http://schemas.openxmlformats.org/officeDocument/2006/relationships" ref="H19" r:id="rId48"/>
    <hyperlink xmlns:r="http://schemas.openxmlformats.org/officeDocument/2006/relationships" ref="I19" r:id="rId49"/>
    <hyperlink xmlns:r="http://schemas.openxmlformats.org/officeDocument/2006/relationships" ref="Y19" r:id="rId50"/>
    <hyperlink xmlns:r="http://schemas.openxmlformats.org/officeDocument/2006/relationships" ref="I20" r:id="rId51"/>
    <hyperlink xmlns:r="http://schemas.openxmlformats.org/officeDocument/2006/relationships" ref="Y20" r:id="rId52"/>
    <hyperlink xmlns:r="http://schemas.openxmlformats.org/officeDocument/2006/relationships" ref="H21" r:id="rId53"/>
    <hyperlink xmlns:r="http://schemas.openxmlformats.org/officeDocument/2006/relationships" ref="I21" r:id="rId54"/>
    <hyperlink xmlns:r="http://schemas.openxmlformats.org/officeDocument/2006/relationships" ref="Y21" r:id="rId55"/>
    <hyperlink xmlns:r="http://schemas.openxmlformats.org/officeDocument/2006/relationships" ref="H22" r:id="rId56"/>
    <hyperlink xmlns:r="http://schemas.openxmlformats.org/officeDocument/2006/relationships" ref="Y22" r:id="rId57"/>
    <hyperlink xmlns:r="http://schemas.openxmlformats.org/officeDocument/2006/relationships" ref="H23" r:id="rId58"/>
    <hyperlink xmlns:r="http://schemas.openxmlformats.org/officeDocument/2006/relationships" ref="Y23" r:id="rId59"/>
    <hyperlink xmlns:r="http://schemas.openxmlformats.org/officeDocument/2006/relationships" ref="H24" r:id="rId60"/>
    <hyperlink xmlns:r="http://schemas.openxmlformats.org/officeDocument/2006/relationships" ref="I24" r:id="rId61"/>
    <hyperlink xmlns:r="http://schemas.openxmlformats.org/officeDocument/2006/relationships" ref="Y24" r:id="rId62"/>
    <hyperlink xmlns:r="http://schemas.openxmlformats.org/officeDocument/2006/relationships" ref="H25" r:id="rId63"/>
    <hyperlink xmlns:r="http://schemas.openxmlformats.org/officeDocument/2006/relationships" ref="I25" r:id="rId64"/>
    <hyperlink xmlns:r="http://schemas.openxmlformats.org/officeDocument/2006/relationships" ref="Y25" r:id="rId65"/>
    <hyperlink xmlns:r="http://schemas.openxmlformats.org/officeDocument/2006/relationships" ref="Y26" r:id="rId66"/>
    <hyperlink xmlns:r="http://schemas.openxmlformats.org/officeDocument/2006/relationships" ref="I27" r:id="rId67"/>
    <hyperlink xmlns:r="http://schemas.openxmlformats.org/officeDocument/2006/relationships" ref="Y27" r:id="rId68"/>
    <hyperlink xmlns:r="http://schemas.openxmlformats.org/officeDocument/2006/relationships" ref="H28" r:id="rId69"/>
    <hyperlink xmlns:r="http://schemas.openxmlformats.org/officeDocument/2006/relationships" ref="I28" r:id="rId70"/>
    <hyperlink xmlns:r="http://schemas.openxmlformats.org/officeDocument/2006/relationships" ref="Y28" r:id="rId71"/>
    <hyperlink xmlns:r="http://schemas.openxmlformats.org/officeDocument/2006/relationships" ref="Y29" r:id="rId72"/>
    <hyperlink xmlns:r="http://schemas.openxmlformats.org/officeDocument/2006/relationships" ref="H30" r:id="rId73"/>
    <hyperlink xmlns:r="http://schemas.openxmlformats.org/officeDocument/2006/relationships" ref="I30" r:id="rId74"/>
    <hyperlink xmlns:r="http://schemas.openxmlformats.org/officeDocument/2006/relationships" ref="Y30" r:id="rId75"/>
    <hyperlink xmlns:r="http://schemas.openxmlformats.org/officeDocument/2006/relationships" ref="H31" r:id="rId76"/>
    <hyperlink xmlns:r="http://schemas.openxmlformats.org/officeDocument/2006/relationships" ref="I31" r:id="rId77"/>
    <hyperlink xmlns:r="http://schemas.openxmlformats.org/officeDocument/2006/relationships" ref="Y31" r:id="rId78"/>
    <hyperlink xmlns:r="http://schemas.openxmlformats.org/officeDocument/2006/relationships" ref="H32" r:id="rId79"/>
    <hyperlink xmlns:r="http://schemas.openxmlformats.org/officeDocument/2006/relationships" ref="I32" r:id="rId80"/>
    <hyperlink xmlns:r="http://schemas.openxmlformats.org/officeDocument/2006/relationships" ref="Y32" r:id="rId81"/>
    <hyperlink xmlns:r="http://schemas.openxmlformats.org/officeDocument/2006/relationships" ref="H33" r:id="rId82"/>
    <hyperlink xmlns:r="http://schemas.openxmlformats.org/officeDocument/2006/relationships" ref="I33" r:id="rId83"/>
    <hyperlink xmlns:r="http://schemas.openxmlformats.org/officeDocument/2006/relationships" ref="Y33" r:id="rId84"/>
    <hyperlink xmlns:r="http://schemas.openxmlformats.org/officeDocument/2006/relationships" ref="H34" r:id="rId85"/>
    <hyperlink xmlns:r="http://schemas.openxmlformats.org/officeDocument/2006/relationships" ref="I34" r:id="rId86"/>
    <hyperlink xmlns:r="http://schemas.openxmlformats.org/officeDocument/2006/relationships" ref="Y34" r:id="rId87"/>
    <hyperlink xmlns:r="http://schemas.openxmlformats.org/officeDocument/2006/relationships" ref="H35" r:id="rId88"/>
    <hyperlink xmlns:r="http://schemas.openxmlformats.org/officeDocument/2006/relationships" ref="I35" r:id="rId89"/>
    <hyperlink xmlns:r="http://schemas.openxmlformats.org/officeDocument/2006/relationships" ref="Y35" r:id="rId90"/>
    <hyperlink xmlns:r="http://schemas.openxmlformats.org/officeDocument/2006/relationships" ref="H36" r:id="rId91"/>
    <hyperlink xmlns:r="http://schemas.openxmlformats.org/officeDocument/2006/relationships" ref="Y36" r:id="rId92"/>
    <hyperlink xmlns:r="http://schemas.openxmlformats.org/officeDocument/2006/relationships" ref="H37" r:id="rId93"/>
    <hyperlink xmlns:r="http://schemas.openxmlformats.org/officeDocument/2006/relationships" ref="I37" r:id="rId94"/>
    <hyperlink xmlns:r="http://schemas.openxmlformats.org/officeDocument/2006/relationships" ref="Y37" r:id="rId95"/>
    <hyperlink xmlns:r="http://schemas.openxmlformats.org/officeDocument/2006/relationships" ref="H38" r:id="rId96"/>
    <hyperlink xmlns:r="http://schemas.openxmlformats.org/officeDocument/2006/relationships" ref="I38" r:id="rId97"/>
    <hyperlink xmlns:r="http://schemas.openxmlformats.org/officeDocument/2006/relationships" ref="Y38" r:id="rId98"/>
    <hyperlink xmlns:r="http://schemas.openxmlformats.org/officeDocument/2006/relationships" ref="H39" r:id="rId99"/>
    <hyperlink xmlns:r="http://schemas.openxmlformats.org/officeDocument/2006/relationships" ref="I39" r:id="rId100"/>
    <hyperlink xmlns:r="http://schemas.openxmlformats.org/officeDocument/2006/relationships" ref="Y39" r:id="rId101"/>
    <hyperlink xmlns:r="http://schemas.openxmlformats.org/officeDocument/2006/relationships" ref="H40" r:id="rId102"/>
    <hyperlink xmlns:r="http://schemas.openxmlformats.org/officeDocument/2006/relationships" ref="I40" r:id="rId103"/>
    <hyperlink xmlns:r="http://schemas.openxmlformats.org/officeDocument/2006/relationships" ref="Y40" r:id="rId104"/>
    <hyperlink xmlns:r="http://schemas.openxmlformats.org/officeDocument/2006/relationships" ref="H41" r:id="rId105"/>
    <hyperlink xmlns:r="http://schemas.openxmlformats.org/officeDocument/2006/relationships" ref="I41" r:id="rId106"/>
    <hyperlink xmlns:r="http://schemas.openxmlformats.org/officeDocument/2006/relationships" ref="Y41" r:id="rId107"/>
    <hyperlink xmlns:r="http://schemas.openxmlformats.org/officeDocument/2006/relationships" ref="H42" r:id="rId108"/>
    <hyperlink xmlns:r="http://schemas.openxmlformats.org/officeDocument/2006/relationships" ref="I42" r:id="rId109"/>
    <hyperlink xmlns:r="http://schemas.openxmlformats.org/officeDocument/2006/relationships" ref="Y42" r:id="rId110"/>
    <hyperlink xmlns:r="http://schemas.openxmlformats.org/officeDocument/2006/relationships" ref="H43" r:id="rId111"/>
    <hyperlink xmlns:r="http://schemas.openxmlformats.org/officeDocument/2006/relationships" ref="I43" r:id="rId112"/>
    <hyperlink xmlns:r="http://schemas.openxmlformats.org/officeDocument/2006/relationships" ref="Y43" r:id="rId113"/>
    <hyperlink xmlns:r="http://schemas.openxmlformats.org/officeDocument/2006/relationships" ref="H44" r:id="rId114"/>
    <hyperlink xmlns:r="http://schemas.openxmlformats.org/officeDocument/2006/relationships" ref="I44" r:id="rId115"/>
    <hyperlink xmlns:r="http://schemas.openxmlformats.org/officeDocument/2006/relationships" ref="Y44" r:id="rId116"/>
    <hyperlink xmlns:r="http://schemas.openxmlformats.org/officeDocument/2006/relationships" ref="H45" r:id="rId117"/>
    <hyperlink xmlns:r="http://schemas.openxmlformats.org/officeDocument/2006/relationships" ref="I45" r:id="rId118"/>
    <hyperlink xmlns:r="http://schemas.openxmlformats.org/officeDocument/2006/relationships" ref="Y45" r:id="rId119"/>
    <hyperlink xmlns:r="http://schemas.openxmlformats.org/officeDocument/2006/relationships" ref="Y46" r:id="rId120"/>
    <hyperlink xmlns:r="http://schemas.openxmlformats.org/officeDocument/2006/relationships" ref="H47" r:id="rId121"/>
    <hyperlink xmlns:r="http://schemas.openxmlformats.org/officeDocument/2006/relationships" ref="I47" r:id="rId122"/>
    <hyperlink xmlns:r="http://schemas.openxmlformats.org/officeDocument/2006/relationships" ref="Y47" r:id="rId123"/>
    <hyperlink xmlns:r="http://schemas.openxmlformats.org/officeDocument/2006/relationships" ref="H48" r:id="rId124"/>
    <hyperlink xmlns:r="http://schemas.openxmlformats.org/officeDocument/2006/relationships" ref="I48" r:id="rId125"/>
    <hyperlink xmlns:r="http://schemas.openxmlformats.org/officeDocument/2006/relationships" ref="Y48" r:id="rId126"/>
    <hyperlink xmlns:r="http://schemas.openxmlformats.org/officeDocument/2006/relationships" ref="Y49" r:id="rId127"/>
    <hyperlink xmlns:r="http://schemas.openxmlformats.org/officeDocument/2006/relationships" ref="H50" r:id="rId128"/>
    <hyperlink xmlns:r="http://schemas.openxmlformats.org/officeDocument/2006/relationships" ref="I50" r:id="rId129"/>
    <hyperlink xmlns:r="http://schemas.openxmlformats.org/officeDocument/2006/relationships" ref="Y50" r:id="rId130"/>
    <hyperlink xmlns:r="http://schemas.openxmlformats.org/officeDocument/2006/relationships" ref="H51" r:id="rId131"/>
    <hyperlink xmlns:r="http://schemas.openxmlformats.org/officeDocument/2006/relationships" ref="I51" r:id="rId132"/>
    <hyperlink xmlns:r="http://schemas.openxmlformats.org/officeDocument/2006/relationships" ref="Y51" r:id="rId133"/>
    <hyperlink xmlns:r="http://schemas.openxmlformats.org/officeDocument/2006/relationships" ref="H52" r:id="rId134"/>
    <hyperlink xmlns:r="http://schemas.openxmlformats.org/officeDocument/2006/relationships" ref="I52" r:id="rId135"/>
    <hyperlink xmlns:r="http://schemas.openxmlformats.org/officeDocument/2006/relationships" ref="Y52" r:id="rId136"/>
    <hyperlink xmlns:r="http://schemas.openxmlformats.org/officeDocument/2006/relationships" ref="H53" r:id="rId137"/>
    <hyperlink xmlns:r="http://schemas.openxmlformats.org/officeDocument/2006/relationships" ref="Y53" r:id="rId138"/>
    <hyperlink xmlns:r="http://schemas.openxmlformats.org/officeDocument/2006/relationships" ref="H54" r:id="rId139"/>
    <hyperlink xmlns:r="http://schemas.openxmlformats.org/officeDocument/2006/relationships" ref="I54" r:id="rId140"/>
    <hyperlink xmlns:r="http://schemas.openxmlformats.org/officeDocument/2006/relationships" ref="Y54" r:id="rId141"/>
    <hyperlink xmlns:r="http://schemas.openxmlformats.org/officeDocument/2006/relationships" ref="H55" r:id="rId142"/>
    <hyperlink xmlns:r="http://schemas.openxmlformats.org/officeDocument/2006/relationships" ref="Y55" r:id="rId143"/>
    <hyperlink xmlns:r="http://schemas.openxmlformats.org/officeDocument/2006/relationships" ref="H56" r:id="rId144"/>
    <hyperlink xmlns:r="http://schemas.openxmlformats.org/officeDocument/2006/relationships" ref="I56" r:id="rId145"/>
    <hyperlink xmlns:r="http://schemas.openxmlformats.org/officeDocument/2006/relationships" ref="Y56" r:id="rId146"/>
    <hyperlink xmlns:r="http://schemas.openxmlformats.org/officeDocument/2006/relationships" ref="H57" r:id="rId147"/>
    <hyperlink xmlns:r="http://schemas.openxmlformats.org/officeDocument/2006/relationships" ref="I57" r:id="rId148"/>
    <hyperlink xmlns:r="http://schemas.openxmlformats.org/officeDocument/2006/relationships" ref="Y57" r:id="rId149"/>
    <hyperlink xmlns:r="http://schemas.openxmlformats.org/officeDocument/2006/relationships" ref="H58" r:id="rId150"/>
    <hyperlink xmlns:r="http://schemas.openxmlformats.org/officeDocument/2006/relationships" ref="I58" r:id="rId151"/>
    <hyperlink xmlns:r="http://schemas.openxmlformats.org/officeDocument/2006/relationships" ref="Y58" r:id="rId152"/>
    <hyperlink xmlns:r="http://schemas.openxmlformats.org/officeDocument/2006/relationships" ref="Y59" r:id="rId153"/>
    <hyperlink xmlns:r="http://schemas.openxmlformats.org/officeDocument/2006/relationships" ref="Y60" r:id="rId154"/>
    <hyperlink xmlns:r="http://schemas.openxmlformats.org/officeDocument/2006/relationships" ref="H61" r:id="rId155"/>
    <hyperlink xmlns:r="http://schemas.openxmlformats.org/officeDocument/2006/relationships" ref="I61" r:id="rId156"/>
    <hyperlink xmlns:r="http://schemas.openxmlformats.org/officeDocument/2006/relationships" ref="Y61" r:id="rId157"/>
    <hyperlink xmlns:r="http://schemas.openxmlformats.org/officeDocument/2006/relationships" ref="H62" r:id="rId158"/>
    <hyperlink xmlns:r="http://schemas.openxmlformats.org/officeDocument/2006/relationships" ref="I62" r:id="rId159"/>
    <hyperlink xmlns:r="http://schemas.openxmlformats.org/officeDocument/2006/relationships" ref="Y62" r:id="rId160"/>
    <hyperlink xmlns:r="http://schemas.openxmlformats.org/officeDocument/2006/relationships" ref="Y63" r:id="rId161"/>
    <hyperlink xmlns:r="http://schemas.openxmlformats.org/officeDocument/2006/relationships" ref="H64" r:id="rId162"/>
    <hyperlink xmlns:r="http://schemas.openxmlformats.org/officeDocument/2006/relationships" ref="Y64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Y65" r:id="rId166"/>
    <hyperlink xmlns:r="http://schemas.openxmlformats.org/officeDocument/2006/relationships" ref="H66" r:id="rId167"/>
    <hyperlink xmlns:r="http://schemas.openxmlformats.org/officeDocument/2006/relationships" ref="Y66" r:id="rId168"/>
    <hyperlink xmlns:r="http://schemas.openxmlformats.org/officeDocument/2006/relationships" ref="H67" r:id="rId169"/>
    <hyperlink xmlns:r="http://schemas.openxmlformats.org/officeDocument/2006/relationships" ref="I67" r:id="rId170"/>
    <hyperlink xmlns:r="http://schemas.openxmlformats.org/officeDocument/2006/relationships" ref="Y67" r:id="rId171"/>
    <hyperlink xmlns:r="http://schemas.openxmlformats.org/officeDocument/2006/relationships" ref="H68" r:id="rId172"/>
    <hyperlink xmlns:r="http://schemas.openxmlformats.org/officeDocument/2006/relationships" ref="I68" r:id="rId173"/>
    <hyperlink xmlns:r="http://schemas.openxmlformats.org/officeDocument/2006/relationships" ref="Y68" r:id="rId174"/>
    <hyperlink xmlns:r="http://schemas.openxmlformats.org/officeDocument/2006/relationships" ref="H69" r:id="rId175"/>
    <hyperlink xmlns:r="http://schemas.openxmlformats.org/officeDocument/2006/relationships" ref="I69" r:id="rId176"/>
    <hyperlink xmlns:r="http://schemas.openxmlformats.org/officeDocument/2006/relationships" ref="Y69" r:id="rId177"/>
    <hyperlink xmlns:r="http://schemas.openxmlformats.org/officeDocument/2006/relationships" ref="H70" r:id="rId178"/>
    <hyperlink xmlns:r="http://schemas.openxmlformats.org/officeDocument/2006/relationships" ref="Y70" r:id="rId179"/>
    <hyperlink xmlns:r="http://schemas.openxmlformats.org/officeDocument/2006/relationships" ref="H71" r:id="rId180"/>
    <hyperlink xmlns:r="http://schemas.openxmlformats.org/officeDocument/2006/relationships" ref="I71" r:id="rId181"/>
    <hyperlink xmlns:r="http://schemas.openxmlformats.org/officeDocument/2006/relationships" ref="Y71" r:id="rId182"/>
    <hyperlink xmlns:r="http://schemas.openxmlformats.org/officeDocument/2006/relationships" ref="H72" r:id="rId183"/>
    <hyperlink xmlns:r="http://schemas.openxmlformats.org/officeDocument/2006/relationships" ref="I72" r:id="rId184"/>
    <hyperlink xmlns:r="http://schemas.openxmlformats.org/officeDocument/2006/relationships" ref="Y72" r:id="rId185"/>
    <hyperlink xmlns:r="http://schemas.openxmlformats.org/officeDocument/2006/relationships" ref="H73" r:id="rId186"/>
    <hyperlink xmlns:r="http://schemas.openxmlformats.org/officeDocument/2006/relationships" ref="I73" r:id="rId187"/>
    <hyperlink xmlns:r="http://schemas.openxmlformats.org/officeDocument/2006/relationships" ref="Y73" r:id="rId188"/>
    <hyperlink xmlns:r="http://schemas.openxmlformats.org/officeDocument/2006/relationships" ref="H74" r:id="rId189"/>
    <hyperlink xmlns:r="http://schemas.openxmlformats.org/officeDocument/2006/relationships" ref="Y74" r:id="rId190"/>
    <hyperlink xmlns:r="http://schemas.openxmlformats.org/officeDocument/2006/relationships" ref="H75" r:id="rId191"/>
    <hyperlink xmlns:r="http://schemas.openxmlformats.org/officeDocument/2006/relationships" ref="I75" r:id="rId192"/>
    <hyperlink xmlns:r="http://schemas.openxmlformats.org/officeDocument/2006/relationships" ref="Y75" r:id="rId193"/>
    <hyperlink xmlns:r="http://schemas.openxmlformats.org/officeDocument/2006/relationships" ref="H76" r:id="rId194"/>
    <hyperlink xmlns:r="http://schemas.openxmlformats.org/officeDocument/2006/relationships" ref="I76" r:id="rId195"/>
    <hyperlink xmlns:r="http://schemas.openxmlformats.org/officeDocument/2006/relationships" ref="Y76" r:id="rId196"/>
    <hyperlink xmlns:r="http://schemas.openxmlformats.org/officeDocument/2006/relationships" ref="H77" r:id="rId197"/>
    <hyperlink xmlns:r="http://schemas.openxmlformats.org/officeDocument/2006/relationships" ref="Y77" r:id="rId198"/>
    <hyperlink xmlns:r="http://schemas.openxmlformats.org/officeDocument/2006/relationships" ref="H78" r:id="rId199"/>
    <hyperlink xmlns:r="http://schemas.openxmlformats.org/officeDocument/2006/relationships" ref="Y78" r:id="rId200"/>
    <hyperlink xmlns:r="http://schemas.openxmlformats.org/officeDocument/2006/relationships" ref="H79" r:id="rId201"/>
    <hyperlink xmlns:r="http://schemas.openxmlformats.org/officeDocument/2006/relationships" ref="I79" r:id="rId202"/>
    <hyperlink xmlns:r="http://schemas.openxmlformats.org/officeDocument/2006/relationships" ref="Y79" r:id="rId203"/>
    <hyperlink xmlns:r="http://schemas.openxmlformats.org/officeDocument/2006/relationships" ref="H80" r:id="rId204"/>
    <hyperlink xmlns:r="http://schemas.openxmlformats.org/officeDocument/2006/relationships" ref="I80" r:id="rId205"/>
    <hyperlink xmlns:r="http://schemas.openxmlformats.org/officeDocument/2006/relationships" ref="Y80" r:id="rId206"/>
    <hyperlink xmlns:r="http://schemas.openxmlformats.org/officeDocument/2006/relationships" ref="H81" r:id="rId207"/>
    <hyperlink xmlns:r="http://schemas.openxmlformats.org/officeDocument/2006/relationships" ref="I81" r:id="rId208"/>
    <hyperlink xmlns:r="http://schemas.openxmlformats.org/officeDocument/2006/relationships" ref="Y81" r:id="rId209"/>
    <hyperlink xmlns:r="http://schemas.openxmlformats.org/officeDocument/2006/relationships" ref="Y82" r:id="rId210"/>
    <hyperlink xmlns:r="http://schemas.openxmlformats.org/officeDocument/2006/relationships" ref="H83" r:id="rId211"/>
    <hyperlink xmlns:r="http://schemas.openxmlformats.org/officeDocument/2006/relationships" ref="I83" r:id="rId212"/>
    <hyperlink xmlns:r="http://schemas.openxmlformats.org/officeDocument/2006/relationships" ref="Y83" r:id="rId213"/>
    <hyperlink xmlns:r="http://schemas.openxmlformats.org/officeDocument/2006/relationships" ref="H84" r:id="rId214"/>
    <hyperlink xmlns:r="http://schemas.openxmlformats.org/officeDocument/2006/relationships" ref="I84" r:id="rId215"/>
    <hyperlink xmlns:r="http://schemas.openxmlformats.org/officeDocument/2006/relationships" ref="Y84" r:id="rId216"/>
    <hyperlink xmlns:r="http://schemas.openxmlformats.org/officeDocument/2006/relationships" ref="H85" r:id="rId217"/>
    <hyperlink xmlns:r="http://schemas.openxmlformats.org/officeDocument/2006/relationships" ref="Y85" r:id="rId218"/>
    <hyperlink xmlns:r="http://schemas.openxmlformats.org/officeDocument/2006/relationships" ref="H86" r:id="rId219"/>
    <hyperlink xmlns:r="http://schemas.openxmlformats.org/officeDocument/2006/relationships" ref="Y86" r:id="rId220"/>
    <hyperlink xmlns:r="http://schemas.openxmlformats.org/officeDocument/2006/relationships" ref="H87" r:id="rId221"/>
    <hyperlink xmlns:r="http://schemas.openxmlformats.org/officeDocument/2006/relationships" ref="I87" r:id="rId222"/>
    <hyperlink xmlns:r="http://schemas.openxmlformats.org/officeDocument/2006/relationships" ref="Y87" r:id="rId223"/>
    <hyperlink xmlns:r="http://schemas.openxmlformats.org/officeDocument/2006/relationships" ref="H88" r:id="rId224"/>
    <hyperlink xmlns:r="http://schemas.openxmlformats.org/officeDocument/2006/relationships" ref="I88" r:id="rId225"/>
    <hyperlink xmlns:r="http://schemas.openxmlformats.org/officeDocument/2006/relationships" ref="Y88" r:id="rId226"/>
    <hyperlink xmlns:r="http://schemas.openxmlformats.org/officeDocument/2006/relationships" ref="H89" r:id="rId227"/>
    <hyperlink xmlns:r="http://schemas.openxmlformats.org/officeDocument/2006/relationships" ref="I89" r:id="rId228"/>
    <hyperlink xmlns:r="http://schemas.openxmlformats.org/officeDocument/2006/relationships" ref="Y89" r:id="rId229"/>
    <hyperlink xmlns:r="http://schemas.openxmlformats.org/officeDocument/2006/relationships" ref="H90" r:id="rId230"/>
    <hyperlink xmlns:r="http://schemas.openxmlformats.org/officeDocument/2006/relationships" ref="I90" r:id="rId231"/>
    <hyperlink xmlns:r="http://schemas.openxmlformats.org/officeDocument/2006/relationships" ref="Y90" r:id="rId232"/>
    <hyperlink xmlns:r="http://schemas.openxmlformats.org/officeDocument/2006/relationships" ref="H91" r:id="rId233"/>
    <hyperlink xmlns:r="http://schemas.openxmlformats.org/officeDocument/2006/relationships" ref="I91" r:id="rId234"/>
    <hyperlink xmlns:r="http://schemas.openxmlformats.org/officeDocument/2006/relationships" ref="Y91" r:id="rId235"/>
    <hyperlink xmlns:r="http://schemas.openxmlformats.org/officeDocument/2006/relationships" ref="H92" r:id="rId236"/>
    <hyperlink xmlns:r="http://schemas.openxmlformats.org/officeDocument/2006/relationships" ref="I92" r:id="rId237"/>
    <hyperlink xmlns:r="http://schemas.openxmlformats.org/officeDocument/2006/relationships" ref="Y92" r:id="rId238"/>
    <hyperlink xmlns:r="http://schemas.openxmlformats.org/officeDocument/2006/relationships" ref="H93" r:id="rId239"/>
    <hyperlink xmlns:r="http://schemas.openxmlformats.org/officeDocument/2006/relationships" ref="I93" r:id="rId240"/>
    <hyperlink xmlns:r="http://schemas.openxmlformats.org/officeDocument/2006/relationships" ref="Y93" r:id="rId241"/>
    <hyperlink xmlns:r="http://schemas.openxmlformats.org/officeDocument/2006/relationships" ref="H94" r:id="rId242"/>
    <hyperlink xmlns:r="http://schemas.openxmlformats.org/officeDocument/2006/relationships" ref="I94" r:id="rId243"/>
    <hyperlink xmlns:r="http://schemas.openxmlformats.org/officeDocument/2006/relationships" ref="Y94" r:id="rId244"/>
    <hyperlink xmlns:r="http://schemas.openxmlformats.org/officeDocument/2006/relationships" ref="H95" r:id="rId245"/>
    <hyperlink xmlns:r="http://schemas.openxmlformats.org/officeDocument/2006/relationships" ref="I95" r:id="rId246"/>
    <hyperlink xmlns:r="http://schemas.openxmlformats.org/officeDocument/2006/relationships" ref="Y95" r:id="rId247"/>
    <hyperlink xmlns:r="http://schemas.openxmlformats.org/officeDocument/2006/relationships" ref="Y96" r:id="rId248"/>
    <hyperlink xmlns:r="http://schemas.openxmlformats.org/officeDocument/2006/relationships" ref="H97" r:id="rId249"/>
    <hyperlink xmlns:r="http://schemas.openxmlformats.org/officeDocument/2006/relationships" ref="I97" r:id="rId250"/>
    <hyperlink xmlns:r="http://schemas.openxmlformats.org/officeDocument/2006/relationships" ref="Y97" r:id="rId251"/>
    <hyperlink xmlns:r="http://schemas.openxmlformats.org/officeDocument/2006/relationships" ref="H98" r:id="rId252"/>
    <hyperlink xmlns:r="http://schemas.openxmlformats.org/officeDocument/2006/relationships" ref="I98" r:id="rId253"/>
    <hyperlink xmlns:r="http://schemas.openxmlformats.org/officeDocument/2006/relationships" ref="Y98" r:id="rId254"/>
    <hyperlink xmlns:r="http://schemas.openxmlformats.org/officeDocument/2006/relationships" ref="Y99" r:id="rId255"/>
    <hyperlink xmlns:r="http://schemas.openxmlformats.org/officeDocument/2006/relationships" ref="H100" r:id="rId256"/>
    <hyperlink xmlns:r="http://schemas.openxmlformats.org/officeDocument/2006/relationships" ref="I100" r:id="rId257"/>
    <hyperlink xmlns:r="http://schemas.openxmlformats.org/officeDocument/2006/relationships" ref="Y100" r:id="rId258"/>
    <hyperlink xmlns:r="http://schemas.openxmlformats.org/officeDocument/2006/relationships" ref="H101" r:id="rId259"/>
    <hyperlink xmlns:r="http://schemas.openxmlformats.org/officeDocument/2006/relationships" ref="I101" r:id="rId260"/>
    <hyperlink xmlns:r="http://schemas.openxmlformats.org/officeDocument/2006/relationships" ref="Y101" r:id="rId261"/>
    <hyperlink xmlns:r="http://schemas.openxmlformats.org/officeDocument/2006/relationships" ref="H102" r:id="rId262"/>
    <hyperlink xmlns:r="http://schemas.openxmlformats.org/officeDocument/2006/relationships" ref="I102" r:id="rId263"/>
    <hyperlink xmlns:r="http://schemas.openxmlformats.org/officeDocument/2006/relationships" ref="Y102" r:id="rId264"/>
    <hyperlink xmlns:r="http://schemas.openxmlformats.org/officeDocument/2006/relationships" ref="H103" r:id="rId265"/>
    <hyperlink xmlns:r="http://schemas.openxmlformats.org/officeDocument/2006/relationships" ref="Y103" r:id="rId266"/>
    <hyperlink xmlns:r="http://schemas.openxmlformats.org/officeDocument/2006/relationships" ref="H104" r:id="rId267"/>
    <hyperlink xmlns:r="http://schemas.openxmlformats.org/officeDocument/2006/relationships" ref="Y104" r:id="rId268"/>
    <hyperlink xmlns:r="http://schemas.openxmlformats.org/officeDocument/2006/relationships" ref="H105" r:id="rId269"/>
    <hyperlink xmlns:r="http://schemas.openxmlformats.org/officeDocument/2006/relationships" ref="I105" r:id="rId270"/>
    <hyperlink xmlns:r="http://schemas.openxmlformats.org/officeDocument/2006/relationships" ref="Y105" r:id="rId271"/>
    <hyperlink xmlns:r="http://schemas.openxmlformats.org/officeDocument/2006/relationships" ref="H106" r:id="rId272"/>
    <hyperlink xmlns:r="http://schemas.openxmlformats.org/officeDocument/2006/relationships" ref="I106" r:id="rId273"/>
    <hyperlink xmlns:r="http://schemas.openxmlformats.org/officeDocument/2006/relationships" ref="Y106" r:id="rId274"/>
    <hyperlink xmlns:r="http://schemas.openxmlformats.org/officeDocument/2006/relationships" ref="H107" r:id="rId275"/>
    <hyperlink xmlns:r="http://schemas.openxmlformats.org/officeDocument/2006/relationships" ref="I107" r:id="rId276"/>
    <hyperlink xmlns:r="http://schemas.openxmlformats.org/officeDocument/2006/relationships" ref="Y107" r:id="rId277"/>
    <hyperlink xmlns:r="http://schemas.openxmlformats.org/officeDocument/2006/relationships" ref="H108" r:id="rId278"/>
    <hyperlink xmlns:r="http://schemas.openxmlformats.org/officeDocument/2006/relationships" ref="Y108" r:id="rId279"/>
    <hyperlink xmlns:r="http://schemas.openxmlformats.org/officeDocument/2006/relationships" ref="H109" r:id="rId280"/>
    <hyperlink xmlns:r="http://schemas.openxmlformats.org/officeDocument/2006/relationships" ref="I109" r:id="rId281"/>
    <hyperlink xmlns:r="http://schemas.openxmlformats.org/officeDocument/2006/relationships" ref="Y109" r:id="rId282"/>
    <hyperlink xmlns:r="http://schemas.openxmlformats.org/officeDocument/2006/relationships" ref="H110" r:id="rId283"/>
    <hyperlink xmlns:r="http://schemas.openxmlformats.org/officeDocument/2006/relationships" ref="I110" r:id="rId284"/>
    <hyperlink xmlns:r="http://schemas.openxmlformats.org/officeDocument/2006/relationships" ref="Y110" r:id="rId285"/>
    <hyperlink xmlns:r="http://schemas.openxmlformats.org/officeDocument/2006/relationships" ref="H111" r:id="rId286"/>
    <hyperlink xmlns:r="http://schemas.openxmlformats.org/officeDocument/2006/relationships" ref="I111" r:id="rId287"/>
    <hyperlink xmlns:r="http://schemas.openxmlformats.org/officeDocument/2006/relationships" ref="Y111" r:id="rId288"/>
    <hyperlink xmlns:r="http://schemas.openxmlformats.org/officeDocument/2006/relationships" ref="H112" r:id="rId289"/>
    <hyperlink xmlns:r="http://schemas.openxmlformats.org/officeDocument/2006/relationships" ref="I112" r:id="rId290"/>
    <hyperlink xmlns:r="http://schemas.openxmlformats.org/officeDocument/2006/relationships" ref="Y112" r:id="rId291"/>
    <hyperlink xmlns:r="http://schemas.openxmlformats.org/officeDocument/2006/relationships" ref="H113" r:id="rId292"/>
    <hyperlink xmlns:r="http://schemas.openxmlformats.org/officeDocument/2006/relationships" ref="I113" r:id="rId293"/>
    <hyperlink xmlns:r="http://schemas.openxmlformats.org/officeDocument/2006/relationships" ref="Y113" r:id="rId294"/>
    <hyperlink xmlns:r="http://schemas.openxmlformats.org/officeDocument/2006/relationships" ref="H114" r:id="rId295"/>
    <hyperlink xmlns:r="http://schemas.openxmlformats.org/officeDocument/2006/relationships" ref="I114" r:id="rId296"/>
    <hyperlink xmlns:r="http://schemas.openxmlformats.org/officeDocument/2006/relationships" ref="Y114" r:id="rId297"/>
    <hyperlink xmlns:r="http://schemas.openxmlformats.org/officeDocument/2006/relationships" ref="H115" r:id="rId298"/>
    <hyperlink xmlns:r="http://schemas.openxmlformats.org/officeDocument/2006/relationships" ref="I115" r:id="rId299"/>
    <hyperlink xmlns:r="http://schemas.openxmlformats.org/officeDocument/2006/relationships" ref="Y115" r:id="rId300"/>
    <hyperlink xmlns:r="http://schemas.openxmlformats.org/officeDocument/2006/relationships" ref="H116" r:id="rId301"/>
    <hyperlink xmlns:r="http://schemas.openxmlformats.org/officeDocument/2006/relationships" ref="I116" r:id="rId302"/>
    <hyperlink xmlns:r="http://schemas.openxmlformats.org/officeDocument/2006/relationships" ref="Y116" r:id="rId303"/>
    <hyperlink xmlns:r="http://schemas.openxmlformats.org/officeDocument/2006/relationships" ref="H117" r:id="rId304"/>
    <hyperlink xmlns:r="http://schemas.openxmlformats.org/officeDocument/2006/relationships" ref="Y117" r:id="rId305"/>
    <hyperlink xmlns:r="http://schemas.openxmlformats.org/officeDocument/2006/relationships" ref="H118" r:id="rId306"/>
    <hyperlink xmlns:r="http://schemas.openxmlformats.org/officeDocument/2006/relationships" ref="I118" r:id="rId307"/>
    <hyperlink xmlns:r="http://schemas.openxmlformats.org/officeDocument/2006/relationships" ref="Y118" r:id="rId308"/>
    <hyperlink xmlns:r="http://schemas.openxmlformats.org/officeDocument/2006/relationships" ref="H119" r:id="rId309"/>
    <hyperlink xmlns:r="http://schemas.openxmlformats.org/officeDocument/2006/relationships" ref="Y119" r:id="rId310"/>
    <hyperlink xmlns:r="http://schemas.openxmlformats.org/officeDocument/2006/relationships" ref="H120" r:id="rId311"/>
    <hyperlink xmlns:r="http://schemas.openxmlformats.org/officeDocument/2006/relationships" ref="I120" r:id="rId312"/>
    <hyperlink xmlns:r="http://schemas.openxmlformats.org/officeDocument/2006/relationships" ref="Y120" r:id="rId313"/>
    <hyperlink xmlns:r="http://schemas.openxmlformats.org/officeDocument/2006/relationships" ref="H121" r:id="rId314"/>
    <hyperlink xmlns:r="http://schemas.openxmlformats.org/officeDocument/2006/relationships" ref="Y121" r:id="rId315"/>
    <hyperlink xmlns:r="http://schemas.openxmlformats.org/officeDocument/2006/relationships" ref="H122" r:id="rId316"/>
    <hyperlink xmlns:r="http://schemas.openxmlformats.org/officeDocument/2006/relationships" ref="I122" r:id="rId317"/>
    <hyperlink xmlns:r="http://schemas.openxmlformats.org/officeDocument/2006/relationships" ref="Y122" r:id="rId318"/>
    <hyperlink xmlns:r="http://schemas.openxmlformats.org/officeDocument/2006/relationships" ref="H123" r:id="rId319"/>
    <hyperlink xmlns:r="http://schemas.openxmlformats.org/officeDocument/2006/relationships" ref="I123" r:id="rId320"/>
    <hyperlink xmlns:r="http://schemas.openxmlformats.org/officeDocument/2006/relationships" ref="Y123" r:id="rId321"/>
    <hyperlink xmlns:r="http://schemas.openxmlformats.org/officeDocument/2006/relationships" ref="H124" r:id="rId322"/>
    <hyperlink xmlns:r="http://schemas.openxmlformats.org/officeDocument/2006/relationships" ref="I124" r:id="rId323"/>
    <hyperlink xmlns:r="http://schemas.openxmlformats.org/officeDocument/2006/relationships" ref="Y124" r:id="rId324"/>
    <hyperlink xmlns:r="http://schemas.openxmlformats.org/officeDocument/2006/relationships" ref="H125" r:id="rId325"/>
    <hyperlink xmlns:r="http://schemas.openxmlformats.org/officeDocument/2006/relationships" ref="Y125" r:id="rId326"/>
    <hyperlink xmlns:r="http://schemas.openxmlformats.org/officeDocument/2006/relationships" ref="H126" r:id="rId327"/>
    <hyperlink xmlns:r="http://schemas.openxmlformats.org/officeDocument/2006/relationships" ref="I126" r:id="rId328"/>
    <hyperlink xmlns:r="http://schemas.openxmlformats.org/officeDocument/2006/relationships" ref="Y126" r:id="rId329"/>
    <hyperlink xmlns:r="http://schemas.openxmlformats.org/officeDocument/2006/relationships" ref="H127" r:id="rId330"/>
    <hyperlink xmlns:r="http://schemas.openxmlformats.org/officeDocument/2006/relationships" ref="I127" r:id="rId331"/>
    <hyperlink xmlns:r="http://schemas.openxmlformats.org/officeDocument/2006/relationships" ref="Y127" r:id="rId332"/>
    <hyperlink xmlns:r="http://schemas.openxmlformats.org/officeDocument/2006/relationships" ref="H128" r:id="rId333"/>
    <hyperlink xmlns:r="http://schemas.openxmlformats.org/officeDocument/2006/relationships" ref="I128" r:id="rId334"/>
    <hyperlink xmlns:r="http://schemas.openxmlformats.org/officeDocument/2006/relationships" ref="Y128" r:id="rId335"/>
    <hyperlink xmlns:r="http://schemas.openxmlformats.org/officeDocument/2006/relationships" ref="H129" r:id="rId336"/>
    <hyperlink xmlns:r="http://schemas.openxmlformats.org/officeDocument/2006/relationships" ref="I129" r:id="rId337"/>
    <hyperlink xmlns:r="http://schemas.openxmlformats.org/officeDocument/2006/relationships" ref="Y129" r:id="rId338"/>
    <hyperlink xmlns:r="http://schemas.openxmlformats.org/officeDocument/2006/relationships" ref="H130" r:id="rId339"/>
    <hyperlink xmlns:r="http://schemas.openxmlformats.org/officeDocument/2006/relationships" ref="Y130" r:id="rId340"/>
    <hyperlink xmlns:r="http://schemas.openxmlformats.org/officeDocument/2006/relationships" ref="H131" r:id="rId341"/>
    <hyperlink xmlns:r="http://schemas.openxmlformats.org/officeDocument/2006/relationships" ref="I131" r:id="rId342"/>
    <hyperlink xmlns:r="http://schemas.openxmlformats.org/officeDocument/2006/relationships" ref="Y131" r:id="rId343"/>
    <hyperlink xmlns:r="http://schemas.openxmlformats.org/officeDocument/2006/relationships" ref="H132" r:id="rId344"/>
    <hyperlink xmlns:r="http://schemas.openxmlformats.org/officeDocument/2006/relationships" ref="I132" r:id="rId345"/>
    <hyperlink xmlns:r="http://schemas.openxmlformats.org/officeDocument/2006/relationships" ref="Y132" r:id="rId346"/>
    <hyperlink xmlns:r="http://schemas.openxmlformats.org/officeDocument/2006/relationships" ref="H133" r:id="rId347"/>
    <hyperlink xmlns:r="http://schemas.openxmlformats.org/officeDocument/2006/relationships" ref="I133" r:id="rId348"/>
    <hyperlink xmlns:r="http://schemas.openxmlformats.org/officeDocument/2006/relationships" ref="Y133" r:id="rId349"/>
    <hyperlink xmlns:r="http://schemas.openxmlformats.org/officeDocument/2006/relationships" ref="H134" r:id="rId350"/>
    <hyperlink xmlns:r="http://schemas.openxmlformats.org/officeDocument/2006/relationships" ref="I134" r:id="rId351"/>
    <hyperlink xmlns:r="http://schemas.openxmlformats.org/officeDocument/2006/relationships" ref="Y134" r:id="rId352"/>
    <hyperlink xmlns:r="http://schemas.openxmlformats.org/officeDocument/2006/relationships" ref="H135" r:id="rId353"/>
    <hyperlink xmlns:r="http://schemas.openxmlformats.org/officeDocument/2006/relationships" ref="I135" r:id="rId354"/>
    <hyperlink xmlns:r="http://schemas.openxmlformats.org/officeDocument/2006/relationships" ref="Y135" r:id="rId355"/>
    <hyperlink xmlns:r="http://schemas.openxmlformats.org/officeDocument/2006/relationships" ref="H136" r:id="rId356"/>
    <hyperlink xmlns:r="http://schemas.openxmlformats.org/officeDocument/2006/relationships" ref="Y136" r:id="rId357"/>
    <hyperlink xmlns:r="http://schemas.openxmlformats.org/officeDocument/2006/relationships" ref="H137" r:id="rId358"/>
    <hyperlink xmlns:r="http://schemas.openxmlformats.org/officeDocument/2006/relationships" ref="Y137" r:id="rId359"/>
    <hyperlink xmlns:r="http://schemas.openxmlformats.org/officeDocument/2006/relationships" ref="H138" r:id="rId360"/>
    <hyperlink xmlns:r="http://schemas.openxmlformats.org/officeDocument/2006/relationships" ref="I138" r:id="rId361"/>
    <hyperlink xmlns:r="http://schemas.openxmlformats.org/officeDocument/2006/relationships" ref="Y138" r:id="rId362"/>
    <hyperlink xmlns:r="http://schemas.openxmlformats.org/officeDocument/2006/relationships" ref="H139" r:id="rId363"/>
    <hyperlink xmlns:r="http://schemas.openxmlformats.org/officeDocument/2006/relationships" ref="I139" r:id="rId364"/>
    <hyperlink xmlns:r="http://schemas.openxmlformats.org/officeDocument/2006/relationships" ref="Y139" r:id="rId365"/>
    <hyperlink xmlns:r="http://schemas.openxmlformats.org/officeDocument/2006/relationships" ref="H140" r:id="rId366"/>
    <hyperlink xmlns:r="http://schemas.openxmlformats.org/officeDocument/2006/relationships" ref="I140" r:id="rId367"/>
    <hyperlink xmlns:r="http://schemas.openxmlformats.org/officeDocument/2006/relationships" ref="Y140" r:id="rId368"/>
    <hyperlink xmlns:r="http://schemas.openxmlformats.org/officeDocument/2006/relationships" ref="H141" r:id="rId369"/>
    <hyperlink xmlns:r="http://schemas.openxmlformats.org/officeDocument/2006/relationships" ref="I141" r:id="rId370"/>
    <hyperlink xmlns:r="http://schemas.openxmlformats.org/officeDocument/2006/relationships" ref="Y141" r:id="rId371"/>
    <hyperlink xmlns:r="http://schemas.openxmlformats.org/officeDocument/2006/relationships" ref="H142" r:id="rId372"/>
    <hyperlink xmlns:r="http://schemas.openxmlformats.org/officeDocument/2006/relationships" ref="I142" r:id="rId373"/>
    <hyperlink xmlns:r="http://schemas.openxmlformats.org/officeDocument/2006/relationships" ref="Y142" r:id="rId374"/>
    <hyperlink xmlns:r="http://schemas.openxmlformats.org/officeDocument/2006/relationships" ref="H143" r:id="rId375"/>
    <hyperlink xmlns:r="http://schemas.openxmlformats.org/officeDocument/2006/relationships" ref="I143" r:id="rId376"/>
    <hyperlink xmlns:r="http://schemas.openxmlformats.org/officeDocument/2006/relationships" ref="Y143" r:id="rId377"/>
    <hyperlink xmlns:r="http://schemas.openxmlformats.org/officeDocument/2006/relationships" ref="H144" r:id="rId378"/>
    <hyperlink xmlns:r="http://schemas.openxmlformats.org/officeDocument/2006/relationships" ref="I144" r:id="rId379"/>
    <hyperlink xmlns:r="http://schemas.openxmlformats.org/officeDocument/2006/relationships" ref="Y144" r:id="rId380"/>
    <hyperlink xmlns:r="http://schemas.openxmlformats.org/officeDocument/2006/relationships" ref="H145" r:id="rId381"/>
    <hyperlink xmlns:r="http://schemas.openxmlformats.org/officeDocument/2006/relationships" ref="I145" r:id="rId382"/>
    <hyperlink xmlns:r="http://schemas.openxmlformats.org/officeDocument/2006/relationships" ref="Y145" r:id="rId383"/>
    <hyperlink xmlns:r="http://schemas.openxmlformats.org/officeDocument/2006/relationships" ref="H146" r:id="rId384"/>
    <hyperlink xmlns:r="http://schemas.openxmlformats.org/officeDocument/2006/relationships" ref="I146" r:id="rId385"/>
    <hyperlink xmlns:r="http://schemas.openxmlformats.org/officeDocument/2006/relationships" ref="Y146" r:id="rId386"/>
    <hyperlink xmlns:r="http://schemas.openxmlformats.org/officeDocument/2006/relationships" ref="H147" r:id="rId387"/>
    <hyperlink xmlns:r="http://schemas.openxmlformats.org/officeDocument/2006/relationships" ref="I147" r:id="rId388"/>
    <hyperlink xmlns:r="http://schemas.openxmlformats.org/officeDocument/2006/relationships" ref="Y147" r:id="rId389"/>
    <hyperlink xmlns:r="http://schemas.openxmlformats.org/officeDocument/2006/relationships" ref="H148" r:id="rId390"/>
    <hyperlink xmlns:r="http://schemas.openxmlformats.org/officeDocument/2006/relationships" ref="I148" r:id="rId391"/>
    <hyperlink xmlns:r="http://schemas.openxmlformats.org/officeDocument/2006/relationships" ref="Y148" r:id="rId392"/>
    <hyperlink xmlns:r="http://schemas.openxmlformats.org/officeDocument/2006/relationships" ref="H149" r:id="rId393"/>
    <hyperlink xmlns:r="http://schemas.openxmlformats.org/officeDocument/2006/relationships" ref="I149" r:id="rId394"/>
    <hyperlink xmlns:r="http://schemas.openxmlformats.org/officeDocument/2006/relationships" ref="Y149" r:id="rId395"/>
    <hyperlink xmlns:r="http://schemas.openxmlformats.org/officeDocument/2006/relationships" ref="H150" r:id="rId396"/>
    <hyperlink xmlns:r="http://schemas.openxmlformats.org/officeDocument/2006/relationships" ref="I150" r:id="rId397"/>
    <hyperlink xmlns:r="http://schemas.openxmlformats.org/officeDocument/2006/relationships" ref="Y150" r:id="rId398"/>
    <hyperlink xmlns:r="http://schemas.openxmlformats.org/officeDocument/2006/relationships" ref="H151" r:id="rId399"/>
    <hyperlink xmlns:r="http://schemas.openxmlformats.org/officeDocument/2006/relationships" ref="I151" r:id="rId400"/>
    <hyperlink xmlns:r="http://schemas.openxmlformats.org/officeDocument/2006/relationships" ref="Y151" r:id="rId401"/>
    <hyperlink xmlns:r="http://schemas.openxmlformats.org/officeDocument/2006/relationships" ref="H152" r:id="rId402"/>
    <hyperlink xmlns:r="http://schemas.openxmlformats.org/officeDocument/2006/relationships" ref="I152" r:id="rId403"/>
    <hyperlink xmlns:r="http://schemas.openxmlformats.org/officeDocument/2006/relationships" ref="Y152" r:id="rId404"/>
    <hyperlink xmlns:r="http://schemas.openxmlformats.org/officeDocument/2006/relationships" ref="H153" r:id="rId405"/>
    <hyperlink xmlns:r="http://schemas.openxmlformats.org/officeDocument/2006/relationships" ref="I153" r:id="rId406"/>
    <hyperlink xmlns:r="http://schemas.openxmlformats.org/officeDocument/2006/relationships" ref="Y153" r:id="rId407"/>
    <hyperlink xmlns:r="http://schemas.openxmlformats.org/officeDocument/2006/relationships" ref="H154" r:id="rId408"/>
    <hyperlink xmlns:r="http://schemas.openxmlformats.org/officeDocument/2006/relationships" ref="Y154" r:id="rId409"/>
    <hyperlink xmlns:r="http://schemas.openxmlformats.org/officeDocument/2006/relationships" ref="H155" r:id="rId410"/>
    <hyperlink xmlns:r="http://schemas.openxmlformats.org/officeDocument/2006/relationships" ref="Y155" r:id="rId411"/>
    <hyperlink xmlns:r="http://schemas.openxmlformats.org/officeDocument/2006/relationships" ref="H156" r:id="rId412"/>
    <hyperlink xmlns:r="http://schemas.openxmlformats.org/officeDocument/2006/relationships" ref="Y156" r:id="rId413"/>
    <hyperlink xmlns:r="http://schemas.openxmlformats.org/officeDocument/2006/relationships" ref="H157" r:id="rId414"/>
    <hyperlink xmlns:r="http://schemas.openxmlformats.org/officeDocument/2006/relationships" ref="I157" r:id="rId415"/>
    <hyperlink xmlns:r="http://schemas.openxmlformats.org/officeDocument/2006/relationships" ref="Y157" r:id="rId416"/>
    <hyperlink xmlns:r="http://schemas.openxmlformats.org/officeDocument/2006/relationships" ref="H158" r:id="rId417"/>
    <hyperlink xmlns:r="http://schemas.openxmlformats.org/officeDocument/2006/relationships" ref="I158" r:id="rId418"/>
    <hyperlink xmlns:r="http://schemas.openxmlformats.org/officeDocument/2006/relationships" ref="Y158" r:id="rId419"/>
    <hyperlink xmlns:r="http://schemas.openxmlformats.org/officeDocument/2006/relationships" ref="H159" r:id="rId420"/>
    <hyperlink xmlns:r="http://schemas.openxmlformats.org/officeDocument/2006/relationships" ref="I159" r:id="rId421"/>
    <hyperlink xmlns:r="http://schemas.openxmlformats.org/officeDocument/2006/relationships" ref="Y159" r:id="rId422"/>
    <hyperlink xmlns:r="http://schemas.openxmlformats.org/officeDocument/2006/relationships" ref="H160" r:id="rId423"/>
    <hyperlink xmlns:r="http://schemas.openxmlformats.org/officeDocument/2006/relationships" ref="Y160" r:id="rId424"/>
    <hyperlink xmlns:r="http://schemas.openxmlformats.org/officeDocument/2006/relationships" ref="H161" r:id="rId425"/>
    <hyperlink xmlns:r="http://schemas.openxmlformats.org/officeDocument/2006/relationships" ref="I161" r:id="rId426"/>
    <hyperlink xmlns:r="http://schemas.openxmlformats.org/officeDocument/2006/relationships" ref="Y161" r:id="rId427"/>
    <hyperlink xmlns:r="http://schemas.openxmlformats.org/officeDocument/2006/relationships" ref="H162" r:id="rId428"/>
    <hyperlink xmlns:r="http://schemas.openxmlformats.org/officeDocument/2006/relationships" ref="I162" r:id="rId429"/>
    <hyperlink xmlns:r="http://schemas.openxmlformats.org/officeDocument/2006/relationships" ref="Y162" r:id="rId430"/>
    <hyperlink xmlns:r="http://schemas.openxmlformats.org/officeDocument/2006/relationships" ref="Y163" r:id="rId431"/>
    <hyperlink xmlns:r="http://schemas.openxmlformats.org/officeDocument/2006/relationships" ref="H164" r:id="rId432"/>
    <hyperlink xmlns:r="http://schemas.openxmlformats.org/officeDocument/2006/relationships" ref="I164" r:id="rId433"/>
    <hyperlink xmlns:r="http://schemas.openxmlformats.org/officeDocument/2006/relationships" ref="Y164" r:id="rId434"/>
    <hyperlink xmlns:r="http://schemas.openxmlformats.org/officeDocument/2006/relationships" ref="H165" r:id="rId435"/>
    <hyperlink xmlns:r="http://schemas.openxmlformats.org/officeDocument/2006/relationships" ref="I165" r:id="rId436"/>
    <hyperlink xmlns:r="http://schemas.openxmlformats.org/officeDocument/2006/relationships" ref="Y165" r:id="rId437"/>
    <hyperlink xmlns:r="http://schemas.openxmlformats.org/officeDocument/2006/relationships" ref="Y166" r:id="rId438"/>
    <hyperlink xmlns:r="http://schemas.openxmlformats.org/officeDocument/2006/relationships" ref="Y167" r:id="rId439"/>
    <hyperlink xmlns:r="http://schemas.openxmlformats.org/officeDocument/2006/relationships" ref="Y168" r:id="rId440"/>
    <hyperlink xmlns:r="http://schemas.openxmlformats.org/officeDocument/2006/relationships" ref="H169" r:id="rId441"/>
    <hyperlink xmlns:r="http://schemas.openxmlformats.org/officeDocument/2006/relationships" ref="Y169" r:id="rId442"/>
    <hyperlink xmlns:r="http://schemas.openxmlformats.org/officeDocument/2006/relationships" ref="H170" r:id="rId443"/>
    <hyperlink xmlns:r="http://schemas.openxmlformats.org/officeDocument/2006/relationships" ref="Y170" r:id="rId444"/>
    <hyperlink xmlns:r="http://schemas.openxmlformats.org/officeDocument/2006/relationships" ref="H171" r:id="rId445"/>
    <hyperlink xmlns:r="http://schemas.openxmlformats.org/officeDocument/2006/relationships" ref="Y171" r:id="rId446"/>
    <hyperlink xmlns:r="http://schemas.openxmlformats.org/officeDocument/2006/relationships" ref="H172" r:id="rId447"/>
    <hyperlink xmlns:r="http://schemas.openxmlformats.org/officeDocument/2006/relationships" ref="I172" r:id="rId448"/>
    <hyperlink xmlns:r="http://schemas.openxmlformats.org/officeDocument/2006/relationships" ref="Y172" r:id="rId449"/>
    <hyperlink xmlns:r="http://schemas.openxmlformats.org/officeDocument/2006/relationships" ref="H173" r:id="rId450"/>
    <hyperlink xmlns:r="http://schemas.openxmlformats.org/officeDocument/2006/relationships" ref="I173" r:id="rId451"/>
    <hyperlink xmlns:r="http://schemas.openxmlformats.org/officeDocument/2006/relationships" ref="Y173" r:id="rId452"/>
    <hyperlink xmlns:r="http://schemas.openxmlformats.org/officeDocument/2006/relationships" ref="Y174" r:id="rId453"/>
    <hyperlink xmlns:r="http://schemas.openxmlformats.org/officeDocument/2006/relationships" ref="H175" r:id="rId454"/>
    <hyperlink xmlns:r="http://schemas.openxmlformats.org/officeDocument/2006/relationships" ref="I175" r:id="rId455"/>
    <hyperlink xmlns:r="http://schemas.openxmlformats.org/officeDocument/2006/relationships" ref="Y175" r:id="rId456"/>
    <hyperlink xmlns:r="http://schemas.openxmlformats.org/officeDocument/2006/relationships" ref="H176" r:id="rId457"/>
    <hyperlink xmlns:r="http://schemas.openxmlformats.org/officeDocument/2006/relationships" ref="I176" r:id="rId458"/>
    <hyperlink xmlns:r="http://schemas.openxmlformats.org/officeDocument/2006/relationships" ref="Y176" r:id="rId459"/>
    <hyperlink xmlns:r="http://schemas.openxmlformats.org/officeDocument/2006/relationships" ref="H177" r:id="rId460"/>
    <hyperlink xmlns:r="http://schemas.openxmlformats.org/officeDocument/2006/relationships" ref="I177" r:id="rId461"/>
    <hyperlink xmlns:r="http://schemas.openxmlformats.org/officeDocument/2006/relationships" ref="Y177" r:id="rId462"/>
    <hyperlink xmlns:r="http://schemas.openxmlformats.org/officeDocument/2006/relationships" ref="Y178" r:id="rId463"/>
    <hyperlink xmlns:r="http://schemas.openxmlformats.org/officeDocument/2006/relationships" ref="H179" r:id="rId464"/>
    <hyperlink xmlns:r="http://schemas.openxmlformats.org/officeDocument/2006/relationships" ref="I179" r:id="rId465"/>
    <hyperlink xmlns:r="http://schemas.openxmlformats.org/officeDocument/2006/relationships" ref="Y179" r:id="rId466"/>
    <hyperlink xmlns:r="http://schemas.openxmlformats.org/officeDocument/2006/relationships" ref="H180" r:id="rId467"/>
    <hyperlink xmlns:r="http://schemas.openxmlformats.org/officeDocument/2006/relationships" ref="Y180" r:id="rId468"/>
    <hyperlink xmlns:r="http://schemas.openxmlformats.org/officeDocument/2006/relationships" ref="H181" r:id="rId469"/>
    <hyperlink xmlns:r="http://schemas.openxmlformats.org/officeDocument/2006/relationships" ref="I181" r:id="rId470"/>
    <hyperlink xmlns:r="http://schemas.openxmlformats.org/officeDocument/2006/relationships" ref="Y181" r:id="rId471"/>
    <hyperlink xmlns:r="http://schemas.openxmlformats.org/officeDocument/2006/relationships" ref="Y182" r:id="rId472"/>
    <hyperlink xmlns:r="http://schemas.openxmlformats.org/officeDocument/2006/relationships" ref="Y183" r:id="rId473"/>
    <hyperlink xmlns:r="http://schemas.openxmlformats.org/officeDocument/2006/relationships" ref="Y184" r:id="rId474"/>
    <hyperlink xmlns:r="http://schemas.openxmlformats.org/officeDocument/2006/relationships" ref="H185" r:id="rId475"/>
    <hyperlink xmlns:r="http://schemas.openxmlformats.org/officeDocument/2006/relationships" ref="Y185" r:id="rId476"/>
    <hyperlink xmlns:r="http://schemas.openxmlformats.org/officeDocument/2006/relationships" ref="H186" r:id="rId477"/>
    <hyperlink xmlns:r="http://schemas.openxmlformats.org/officeDocument/2006/relationships" ref="I186" r:id="rId478"/>
    <hyperlink xmlns:r="http://schemas.openxmlformats.org/officeDocument/2006/relationships" ref="Y186" r:id="rId479"/>
    <hyperlink xmlns:r="http://schemas.openxmlformats.org/officeDocument/2006/relationships" ref="H187" r:id="rId480"/>
    <hyperlink xmlns:r="http://schemas.openxmlformats.org/officeDocument/2006/relationships" ref="I187" r:id="rId481"/>
    <hyperlink xmlns:r="http://schemas.openxmlformats.org/officeDocument/2006/relationships" ref="Y187" r:id="rId482"/>
    <hyperlink xmlns:r="http://schemas.openxmlformats.org/officeDocument/2006/relationships" ref="H188" r:id="rId483"/>
    <hyperlink xmlns:r="http://schemas.openxmlformats.org/officeDocument/2006/relationships" ref="I188" r:id="rId484"/>
    <hyperlink xmlns:r="http://schemas.openxmlformats.org/officeDocument/2006/relationships" ref="Y188" r:id="rId485"/>
    <hyperlink xmlns:r="http://schemas.openxmlformats.org/officeDocument/2006/relationships" ref="H189" r:id="rId486"/>
    <hyperlink xmlns:r="http://schemas.openxmlformats.org/officeDocument/2006/relationships" ref="I189" r:id="rId487"/>
    <hyperlink xmlns:r="http://schemas.openxmlformats.org/officeDocument/2006/relationships" ref="Y189" r:id="rId488"/>
    <hyperlink xmlns:r="http://schemas.openxmlformats.org/officeDocument/2006/relationships" ref="H190" r:id="rId489"/>
    <hyperlink xmlns:r="http://schemas.openxmlformats.org/officeDocument/2006/relationships" ref="I190" r:id="rId490"/>
    <hyperlink xmlns:r="http://schemas.openxmlformats.org/officeDocument/2006/relationships" ref="Y190" r:id="rId491"/>
    <hyperlink xmlns:r="http://schemas.openxmlformats.org/officeDocument/2006/relationships" ref="H191" r:id="rId492"/>
    <hyperlink xmlns:r="http://schemas.openxmlformats.org/officeDocument/2006/relationships" ref="I191" r:id="rId493"/>
    <hyperlink xmlns:r="http://schemas.openxmlformats.org/officeDocument/2006/relationships" ref="Y191" r:id="rId494"/>
    <hyperlink xmlns:r="http://schemas.openxmlformats.org/officeDocument/2006/relationships" ref="H192" r:id="rId495"/>
    <hyperlink xmlns:r="http://schemas.openxmlformats.org/officeDocument/2006/relationships" ref="I192" r:id="rId496"/>
    <hyperlink xmlns:r="http://schemas.openxmlformats.org/officeDocument/2006/relationships" ref="Y192" r:id="rId497"/>
    <hyperlink xmlns:r="http://schemas.openxmlformats.org/officeDocument/2006/relationships" ref="H193" r:id="rId498"/>
    <hyperlink xmlns:r="http://schemas.openxmlformats.org/officeDocument/2006/relationships" ref="Y193" r:id="rId499"/>
    <hyperlink xmlns:r="http://schemas.openxmlformats.org/officeDocument/2006/relationships" ref="H194" r:id="rId500"/>
    <hyperlink xmlns:r="http://schemas.openxmlformats.org/officeDocument/2006/relationships" ref="Y194" r:id="rId501"/>
    <hyperlink xmlns:r="http://schemas.openxmlformats.org/officeDocument/2006/relationships" ref="H195" r:id="rId502"/>
    <hyperlink xmlns:r="http://schemas.openxmlformats.org/officeDocument/2006/relationships" ref="I195" r:id="rId503"/>
    <hyperlink xmlns:r="http://schemas.openxmlformats.org/officeDocument/2006/relationships" ref="Y195" r:id="rId504"/>
    <hyperlink xmlns:r="http://schemas.openxmlformats.org/officeDocument/2006/relationships" ref="H196" r:id="rId505"/>
    <hyperlink xmlns:r="http://schemas.openxmlformats.org/officeDocument/2006/relationships" ref="I196" r:id="rId506"/>
    <hyperlink xmlns:r="http://schemas.openxmlformats.org/officeDocument/2006/relationships" ref="Y196" r:id="rId507"/>
    <hyperlink xmlns:r="http://schemas.openxmlformats.org/officeDocument/2006/relationships" ref="Y197" r:id="rId508"/>
    <hyperlink xmlns:r="http://schemas.openxmlformats.org/officeDocument/2006/relationships" ref="H198" r:id="rId509"/>
    <hyperlink xmlns:r="http://schemas.openxmlformats.org/officeDocument/2006/relationships" ref="I198" r:id="rId510"/>
    <hyperlink xmlns:r="http://schemas.openxmlformats.org/officeDocument/2006/relationships" ref="Y198" r:id="rId511"/>
    <hyperlink xmlns:r="http://schemas.openxmlformats.org/officeDocument/2006/relationships" ref="Y199" r:id="rId512"/>
    <hyperlink xmlns:r="http://schemas.openxmlformats.org/officeDocument/2006/relationships" ref="H200" r:id="rId513"/>
    <hyperlink xmlns:r="http://schemas.openxmlformats.org/officeDocument/2006/relationships" ref="I200" r:id="rId514"/>
    <hyperlink xmlns:r="http://schemas.openxmlformats.org/officeDocument/2006/relationships" ref="Y200" r:id="rId515"/>
    <hyperlink xmlns:r="http://schemas.openxmlformats.org/officeDocument/2006/relationships" ref="H201" r:id="rId516"/>
    <hyperlink xmlns:r="http://schemas.openxmlformats.org/officeDocument/2006/relationships" ref="I201" r:id="rId517"/>
    <hyperlink xmlns:r="http://schemas.openxmlformats.org/officeDocument/2006/relationships" ref="Y201" r:id="rId518"/>
    <hyperlink xmlns:r="http://schemas.openxmlformats.org/officeDocument/2006/relationships" ref="H202" r:id="rId519"/>
    <hyperlink xmlns:r="http://schemas.openxmlformats.org/officeDocument/2006/relationships" ref="I202" r:id="rId520"/>
    <hyperlink xmlns:r="http://schemas.openxmlformats.org/officeDocument/2006/relationships" ref="Y202" r:id="rId521"/>
    <hyperlink xmlns:r="http://schemas.openxmlformats.org/officeDocument/2006/relationships" ref="H203" r:id="rId522"/>
    <hyperlink xmlns:r="http://schemas.openxmlformats.org/officeDocument/2006/relationships" ref="I203" r:id="rId523"/>
    <hyperlink xmlns:r="http://schemas.openxmlformats.org/officeDocument/2006/relationships" ref="Y203" r:id="rId524"/>
    <hyperlink xmlns:r="http://schemas.openxmlformats.org/officeDocument/2006/relationships" ref="H204" r:id="rId525"/>
    <hyperlink xmlns:r="http://schemas.openxmlformats.org/officeDocument/2006/relationships" ref="Y204" r:id="rId526"/>
    <hyperlink xmlns:r="http://schemas.openxmlformats.org/officeDocument/2006/relationships" ref="Y205" r:id="rId527"/>
    <hyperlink xmlns:r="http://schemas.openxmlformats.org/officeDocument/2006/relationships" ref="Y206" r:id="rId528"/>
    <hyperlink xmlns:r="http://schemas.openxmlformats.org/officeDocument/2006/relationships" ref="H207" r:id="rId529"/>
    <hyperlink xmlns:r="http://schemas.openxmlformats.org/officeDocument/2006/relationships" ref="I207" r:id="rId530"/>
    <hyperlink xmlns:r="http://schemas.openxmlformats.org/officeDocument/2006/relationships" ref="Y207" r:id="rId531"/>
    <hyperlink xmlns:r="http://schemas.openxmlformats.org/officeDocument/2006/relationships" ref="Y208" r:id="rId532"/>
    <hyperlink xmlns:r="http://schemas.openxmlformats.org/officeDocument/2006/relationships" ref="H209" r:id="rId533"/>
    <hyperlink xmlns:r="http://schemas.openxmlformats.org/officeDocument/2006/relationships" ref="Y209" r:id="rId534"/>
    <hyperlink xmlns:r="http://schemas.openxmlformats.org/officeDocument/2006/relationships" ref="H210" r:id="rId535"/>
    <hyperlink xmlns:r="http://schemas.openxmlformats.org/officeDocument/2006/relationships" ref="Y210" r:id="rId536"/>
    <hyperlink xmlns:r="http://schemas.openxmlformats.org/officeDocument/2006/relationships" ref="H211" r:id="rId537"/>
    <hyperlink xmlns:r="http://schemas.openxmlformats.org/officeDocument/2006/relationships" ref="Y211" r:id="rId538"/>
    <hyperlink xmlns:r="http://schemas.openxmlformats.org/officeDocument/2006/relationships" ref="H212" r:id="rId539"/>
    <hyperlink xmlns:r="http://schemas.openxmlformats.org/officeDocument/2006/relationships" ref="Y212" r:id="rId540"/>
    <hyperlink xmlns:r="http://schemas.openxmlformats.org/officeDocument/2006/relationships" ref="H213" r:id="rId541"/>
    <hyperlink xmlns:r="http://schemas.openxmlformats.org/officeDocument/2006/relationships" ref="Y213" r:id="rId542"/>
    <hyperlink xmlns:r="http://schemas.openxmlformats.org/officeDocument/2006/relationships" ref="H214" r:id="rId543"/>
    <hyperlink xmlns:r="http://schemas.openxmlformats.org/officeDocument/2006/relationships" ref="I214" r:id="rId544"/>
    <hyperlink xmlns:r="http://schemas.openxmlformats.org/officeDocument/2006/relationships" ref="Y214" r:id="rId545"/>
    <hyperlink xmlns:r="http://schemas.openxmlformats.org/officeDocument/2006/relationships" ref="I215" r:id="rId546"/>
    <hyperlink xmlns:r="http://schemas.openxmlformats.org/officeDocument/2006/relationships" ref="Y215" r:id="rId547"/>
    <hyperlink xmlns:r="http://schemas.openxmlformats.org/officeDocument/2006/relationships" ref="Y216" r:id="rId548"/>
    <hyperlink xmlns:r="http://schemas.openxmlformats.org/officeDocument/2006/relationships" ref="Y217" r:id="rId549"/>
    <hyperlink xmlns:r="http://schemas.openxmlformats.org/officeDocument/2006/relationships" ref="H218" r:id="rId550"/>
    <hyperlink xmlns:r="http://schemas.openxmlformats.org/officeDocument/2006/relationships" ref="I218" r:id="rId551"/>
    <hyperlink xmlns:r="http://schemas.openxmlformats.org/officeDocument/2006/relationships" ref="Y218" r:id="rId552"/>
    <hyperlink xmlns:r="http://schemas.openxmlformats.org/officeDocument/2006/relationships" ref="Y219" r:id="rId553"/>
    <hyperlink xmlns:r="http://schemas.openxmlformats.org/officeDocument/2006/relationships" ref="H220" r:id="rId554"/>
    <hyperlink xmlns:r="http://schemas.openxmlformats.org/officeDocument/2006/relationships" ref="I220" r:id="rId555"/>
    <hyperlink xmlns:r="http://schemas.openxmlformats.org/officeDocument/2006/relationships" ref="Y220" r:id="rId556"/>
    <hyperlink xmlns:r="http://schemas.openxmlformats.org/officeDocument/2006/relationships" ref="H221" r:id="rId557"/>
    <hyperlink xmlns:r="http://schemas.openxmlformats.org/officeDocument/2006/relationships" ref="Y221" r:id="rId558"/>
    <hyperlink xmlns:r="http://schemas.openxmlformats.org/officeDocument/2006/relationships" ref="H222" r:id="rId559"/>
    <hyperlink xmlns:r="http://schemas.openxmlformats.org/officeDocument/2006/relationships" ref="I222" r:id="rId560"/>
    <hyperlink xmlns:r="http://schemas.openxmlformats.org/officeDocument/2006/relationships" ref="Y222" r:id="rId561"/>
    <hyperlink xmlns:r="http://schemas.openxmlformats.org/officeDocument/2006/relationships" ref="H223" r:id="rId562"/>
    <hyperlink xmlns:r="http://schemas.openxmlformats.org/officeDocument/2006/relationships" ref="Y223" r:id="rId563"/>
    <hyperlink xmlns:r="http://schemas.openxmlformats.org/officeDocument/2006/relationships" ref="H224" r:id="rId564"/>
    <hyperlink xmlns:r="http://schemas.openxmlformats.org/officeDocument/2006/relationships" ref="I224" r:id="rId565"/>
    <hyperlink xmlns:r="http://schemas.openxmlformats.org/officeDocument/2006/relationships" ref="Y224" r:id="rId566"/>
    <hyperlink xmlns:r="http://schemas.openxmlformats.org/officeDocument/2006/relationships" ref="H225" r:id="rId567"/>
    <hyperlink xmlns:r="http://schemas.openxmlformats.org/officeDocument/2006/relationships" ref="I225" r:id="rId568"/>
    <hyperlink xmlns:r="http://schemas.openxmlformats.org/officeDocument/2006/relationships" ref="Y225" r:id="rId569"/>
    <hyperlink xmlns:r="http://schemas.openxmlformats.org/officeDocument/2006/relationships" ref="H226" r:id="rId570"/>
    <hyperlink xmlns:r="http://schemas.openxmlformats.org/officeDocument/2006/relationships" ref="I226" r:id="rId571"/>
    <hyperlink xmlns:r="http://schemas.openxmlformats.org/officeDocument/2006/relationships" ref="Y226" r:id="rId572"/>
    <hyperlink xmlns:r="http://schemas.openxmlformats.org/officeDocument/2006/relationships" ref="Y227" r:id="rId573"/>
    <hyperlink xmlns:r="http://schemas.openxmlformats.org/officeDocument/2006/relationships" ref="H228" r:id="rId574"/>
    <hyperlink xmlns:r="http://schemas.openxmlformats.org/officeDocument/2006/relationships" ref="I228" r:id="rId575"/>
    <hyperlink xmlns:r="http://schemas.openxmlformats.org/officeDocument/2006/relationships" ref="Y228" r:id="rId576"/>
    <hyperlink xmlns:r="http://schemas.openxmlformats.org/officeDocument/2006/relationships" ref="H229" r:id="rId577"/>
    <hyperlink xmlns:r="http://schemas.openxmlformats.org/officeDocument/2006/relationships" ref="I229" r:id="rId578"/>
    <hyperlink xmlns:r="http://schemas.openxmlformats.org/officeDocument/2006/relationships" ref="Y229" r:id="rId579"/>
    <hyperlink xmlns:r="http://schemas.openxmlformats.org/officeDocument/2006/relationships" ref="I230" r:id="rId580"/>
    <hyperlink xmlns:r="http://schemas.openxmlformats.org/officeDocument/2006/relationships" ref="Y230" r:id="rId581"/>
    <hyperlink xmlns:r="http://schemas.openxmlformats.org/officeDocument/2006/relationships" ref="H231" r:id="rId582"/>
    <hyperlink xmlns:r="http://schemas.openxmlformats.org/officeDocument/2006/relationships" ref="I231" r:id="rId583"/>
    <hyperlink xmlns:r="http://schemas.openxmlformats.org/officeDocument/2006/relationships" ref="Y231" r:id="rId584"/>
    <hyperlink xmlns:r="http://schemas.openxmlformats.org/officeDocument/2006/relationships" ref="I232" r:id="rId585"/>
    <hyperlink xmlns:r="http://schemas.openxmlformats.org/officeDocument/2006/relationships" ref="Y232" r:id="rId586"/>
    <hyperlink xmlns:r="http://schemas.openxmlformats.org/officeDocument/2006/relationships" ref="H233" r:id="rId587"/>
    <hyperlink xmlns:r="http://schemas.openxmlformats.org/officeDocument/2006/relationships" ref="I233" r:id="rId588"/>
    <hyperlink xmlns:r="http://schemas.openxmlformats.org/officeDocument/2006/relationships" ref="Y233" r:id="rId589"/>
    <hyperlink xmlns:r="http://schemas.openxmlformats.org/officeDocument/2006/relationships" ref="H234" r:id="rId590"/>
    <hyperlink xmlns:r="http://schemas.openxmlformats.org/officeDocument/2006/relationships" ref="Y234" r:id="rId591"/>
    <hyperlink xmlns:r="http://schemas.openxmlformats.org/officeDocument/2006/relationships" ref="H235" r:id="rId592"/>
    <hyperlink xmlns:r="http://schemas.openxmlformats.org/officeDocument/2006/relationships" ref="I235" r:id="rId593"/>
    <hyperlink xmlns:r="http://schemas.openxmlformats.org/officeDocument/2006/relationships" ref="Y235" r:id="rId594"/>
    <hyperlink xmlns:r="http://schemas.openxmlformats.org/officeDocument/2006/relationships" ref="H236" r:id="rId595"/>
    <hyperlink xmlns:r="http://schemas.openxmlformats.org/officeDocument/2006/relationships" ref="I236" r:id="rId596"/>
    <hyperlink xmlns:r="http://schemas.openxmlformats.org/officeDocument/2006/relationships" ref="Y236" r:id="rId597"/>
    <hyperlink xmlns:r="http://schemas.openxmlformats.org/officeDocument/2006/relationships" ref="H237" r:id="rId598"/>
    <hyperlink xmlns:r="http://schemas.openxmlformats.org/officeDocument/2006/relationships" ref="I237" r:id="rId599"/>
    <hyperlink xmlns:r="http://schemas.openxmlformats.org/officeDocument/2006/relationships" ref="Y237" r:id="rId600"/>
    <hyperlink xmlns:r="http://schemas.openxmlformats.org/officeDocument/2006/relationships" ref="H238" r:id="rId601"/>
    <hyperlink xmlns:r="http://schemas.openxmlformats.org/officeDocument/2006/relationships" ref="Y238" r:id="rId602"/>
    <hyperlink xmlns:r="http://schemas.openxmlformats.org/officeDocument/2006/relationships" ref="Y239" r:id="rId603"/>
    <hyperlink xmlns:r="http://schemas.openxmlformats.org/officeDocument/2006/relationships" ref="Y240" r:id="rId604"/>
    <hyperlink xmlns:r="http://schemas.openxmlformats.org/officeDocument/2006/relationships" ref="I241" r:id="rId605"/>
    <hyperlink xmlns:r="http://schemas.openxmlformats.org/officeDocument/2006/relationships" ref="Y241" r:id="rId606"/>
    <hyperlink xmlns:r="http://schemas.openxmlformats.org/officeDocument/2006/relationships" ref="H242" r:id="rId607"/>
    <hyperlink xmlns:r="http://schemas.openxmlformats.org/officeDocument/2006/relationships" ref="I242" r:id="rId608"/>
    <hyperlink xmlns:r="http://schemas.openxmlformats.org/officeDocument/2006/relationships" ref="Y242" r:id="rId609"/>
    <hyperlink xmlns:r="http://schemas.openxmlformats.org/officeDocument/2006/relationships" ref="H243" r:id="rId610"/>
    <hyperlink xmlns:r="http://schemas.openxmlformats.org/officeDocument/2006/relationships" ref="I243" r:id="rId611"/>
    <hyperlink xmlns:r="http://schemas.openxmlformats.org/officeDocument/2006/relationships" ref="Y243" r:id="rId612"/>
    <hyperlink xmlns:r="http://schemas.openxmlformats.org/officeDocument/2006/relationships" ref="H244" r:id="rId613"/>
    <hyperlink xmlns:r="http://schemas.openxmlformats.org/officeDocument/2006/relationships" ref="Y244" r:id="rId614"/>
    <hyperlink xmlns:r="http://schemas.openxmlformats.org/officeDocument/2006/relationships" ref="H245" r:id="rId615"/>
    <hyperlink xmlns:r="http://schemas.openxmlformats.org/officeDocument/2006/relationships" ref="I245" r:id="rId616"/>
    <hyperlink xmlns:r="http://schemas.openxmlformats.org/officeDocument/2006/relationships" ref="Y245" r:id="rId617"/>
    <hyperlink xmlns:r="http://schemas.openxmlformats.org/officeDocument/2006/relationships" ref="Y246" r:id="rId618"/>
    <hyperlink xmlns:r="http://schemas.openxmlformats.org/officeDocument/2006/relationships" ref="H247" r:id="rId619"/>
    <hyperlink xmlns:r="http://schemas.openxmlformats.org/officeDocument/2006/relationships" ref="I247" r:id="rId620"/>
    <hyperlink xmlns:r="http://schemas.openxmlformats.org/officeDocument/2006/relationships" ref="Y247" r:id="rId621"/>
    <hyperlink xmlns:r="http://schemas.openxmlformats.org/officeDocument/2006/relationships" ref="H248" r:id="rId622"/>
    <hyperlink xmlns:r="http://schemas.openxmlformats.org/officeDocument/2006/relationships" ref="I248" r:id="rId623"/>
    <hyperlink xmlns:r="http://schemas.openxmlformats.org/officeDocument/2006/relationships" ref="Y248" r:id="rId624"/>
    <hyperlink xmlns:r="http://schemas.openxmlformats.org/officeDocument/2006/relationships" ref="H249" r:id="rId625"/>
    <hyperlink xmlns:r="http://schemas.openxmlformats.org/officeDocument/2006/relationships" ref="Y249" r:id="rId626"/>
    <hyperlink xmlns:r="http://schemas.openxmlformats.org/officeDocument/2006/relationships" ref="H250" r:id="rId627"/>
    <hyperlink xmlns:r="http://schemas.openxmlformats.org/officeDocument/2006/relationships" ref="Y250" r:id="rId628"/>
    <hyperlink xmlns:r="http://schemas.openxmlformats.org/officeDocument/2006/relationships" ref="Y251" r:id="rId629"/>
    <hyperlink xmlns:r="http://schemas.openxmlformats.org/officeDocument/2006/relationships" ref="H252" r:id="rId630"/>
    <hyperlink xmlns:r="http://schemas.openxmlformats.org/officeDocument/2006/relationships" ref="I252" r:id="rId631"/>
    <hyperlink xmlns:r="http://schemas.openxmlformats.org/officeDocument/2006/relationships" ref="Y252" r:id="rId632"/>
    <hyperlink xmlns:r="http://schemas.openxmlformats.org/officeDocument/2006/relationships" ref="Y253" r:id="rId633"/>
    <hyperlink xmlns:r="http://schemas.openxmlformats.org/officeDocument/2006/relationships" ref="H254" r:id="rId634"/>
    <hyperlink xmlns:r="http://schemas.openxmlformats.org/officeDocument/2006/relationships" ref="Y254" r:id="rId635"/>
    <hyperlink xmlns:r="http://schemas.openxmlformats.org/officeDocument/2006/relationships" ref="H255" r:id="rId636"/>
    <hyperlink xmlns:r="http://schemas.openxmlformats.org/officeDocument/2006/relationships" ref="I255" r:id="rId637"/>
    <hyperlink xmlns:r="http://schemas.openxmlformats.org/officeDocument/2006/relationships" ref="Y255" r:id="rId638"/>
    <hyperlink xmlns:r="http://schemas.openxmlformats.org/officeDocument/2006/relationships" ref="H256" r:id="rId639"/>
    <hyperlink xmlns:r="http://schemas.openxmlformats.org/officeDocument/2006/relationships" ref="I256" r:id="rId640"/>
    <hyperlink xmlns:r="http://schemas.openxmlformats.org/officeDocument/2006/relationships" ref="Y256" r:id="rId641"/>
    <hyperlink xmlns:r="http://schemas.openxmlformats.org/officeDocument/2006/relationships" ref="H257" r:id="rId642"/>
    <hyperlink xmlns:r="http://schemas.openxmlformats.org/officeDocument/2006/relationships" ref="Y257" r:id="rId643"/>
    <hyperlink xmlns:r="http://schemas.openxmlformats.org/officeDocument/2006/relationships" ref="H258" r:id="rId644"/>
    <hyperlink xmlns:r="http://schemas.openxmlformats.org/officeDocument/2006/relationships" ref="Y258" r:id="rId645"/>
    <hyperlink xmlns:r="http://schemas.openxmlformats.org/officeDocument/2006/relationships" ref="H259" r:id="rId646"/>
    <hyperlink xmlns:r="http://schemas.openxmlformats.org/officeDocument/2006/relationships" ref="I259" r:id="rId647"/>
    <hyperlink xmlns:r="http://schemas.openxmlformats.org/officeDocument/2006/relationships" ref="Y259" r:id="rId648"/>
    <hyperlink xmlns:r="http://schemas.openxmlformats.org/officeDocument/2006/relationships" ref="Y260" r:id="rId649"/>
    <hyperlink xmlns:r="http://schemas.openxmlformats.org/officeDocument/2006/relationships" ref="H261" r:id="rId650"/>
    <hyperlink xmlns:r="http://schemas.openxmlformats.org/officeDocument/2006/relationships" ref="Y261" r:id="rId651"/>
    <hyperlink xmlns:r="http://schemas.openxmlformats.org/officeDocument/2006/relationships" ref="H262" r:id="rId652"/>
    <hyperlink xmlns:r="http://schemas.openxmlformats.org/officeDocument/2006/relationships" ref="I262" r:id="rId653"/>
    <hyperlink xmlns:r="http://schemas.openxmlformats.org/officeDocument/2006/relationships" ref="Y262" r:id="rId654"/>
    <hyperlink xmlns:r="http://schemas.openxmlformats.org/officeDocument/2006/relationships" ref="Y263" r:id="rId655"/>
    <hyperlink xmlns:r="http://schemas.openxmlformats.org/officeDocument/2006/relationships" ref="H264" r:id="rId656"/>
    <hyperlink xmlns:r="http://schemas.openxmlformats.org/officeDocument/2006/relationships" ref="I264" r:id="rId657"/>
    <hyperlink xmlns:r="http://schemas.openxmlformats.org/officeDocument/2006/relationships" ref="Y264" r:id="rId658"/>
    <hyperlink xmlns:r="http://schemas.openxmlformats.org/officeDocument/2006/relationships" ref="H265" r:id="rId659"/>
    <hyperlink xmlns:r="http://schemas.openxmlformats.org/officeDocument/2006/relationships" ref="Y265" r:id="rId660"/>
    <hyperlink xmlns:r="http://schemas.openxmlformats.org/officeDocument/2006/relationships" ref="H266" r:id="rId661"/>
    <hyperlink xmlns:r="http://schemas.openxmlformats.org/officeDocument/2006/relationships" ref="I266" r:id="rId662"/>
    <hyperlink xmlns:r="http://schemas.openxmlformats.org/officeDocument/2006/relationships" ref="Y266" r:id="rId663"/>
    <hyperlink xmlns:r="http://schemas.openxmlformats.org/officeDocument/2006/relationships" ref="H267" r:id="rId664"/>
    <hyperlink xmlns:r="http://schemas.openxmlformats.org/officeDocument/2006/relationships" ref="I267" r:id="rId665"/>
    <hyperlink xmlns:r="http://schemas.openxmlformats.org/officeDocument/2006/relationships" ref="Y267" r:id="rId666"/>
    <hyperlink xmlns:r="http://schemas.openxmlformats.org/officeDocument/2006/relationships" ref="I268" r:id="rId667"/>
    <hyperlink xmlns:r="http://schemas.openxmlformats.org/officeDocument/2006/relationships" ref="Y268" r:id="rId668"/>
    <hyperlink xmlns:r="http://schemas.openxmlformats.org/officeDocument/2006/relationships" ref="H269" r:id="rId669"/>
    <hyperlink xmlns:r="http://schemas.openxmlformats.org/officeDocument/2006/relationships" ref="Y269" r:id="rId670"/>
    <hyperlink xmlns:r="http://schemas.openxmlformats.org/officeDocument/2006/relationships" ref="H270" r:id="rId671"/>
    <hyperlink xmlns:r="http://schemas.openxmlformats.org/officeDocument/2006/relationships" ref="Y270" r:id="rId672"/>
    <hyperlink xmlns:r="http://schemas.openxmlformats.org/officeDocument/2006/relationships" ref="H271" r:id="rId673"/>
    <hyperlink xmlns:r="http://schemas.openxmlformats.org/officeDocument/2006/relationships" ref="I271" r:id="rId674"/>
    <hyperlink xmlns:r="http://schemas.openxmlformats.org/officeDocument/2006/relationships" ref="Y271" r:id="rId675"/>
    <hyperlink xmlns:r="http://schemas.openxmlformats.org/officeDocument/2006/relationships" ref="H272" r:id="rId676"/>
    <hyperlink xmlns:r="http://schemas.openxmlformats.org/officeDocument/2006/relationships" ref="Y272" r:id="rId677"/>
    <hyperlink xmlns:r="http://schemas.openxmlformats.org/officeDocument/2006/relationships" ref="I273" r:id="rId678"/>
    <hyperlink xmlns:r="http://schemas.openxmlformats.org/officeDocument/2006/relationships" ref="Y273" r:id="rId679"/>
    <hyperlink xmlns:r="http://schemas.openxmlformats.org/officeDocument/2006/relationships" ref="H274" r:id="rId680"/>
    <hyperlink xmlns:r="http://schemas.openxmlformats.org/officeDocument/2006/relationships" ref="Y274" r:id="rId681"/>
    <hyperlink xmlns:r="http://schemas.openxmlformats.org/officeDocument/2006/relationships" ref="H275" r:id="rId682"/>
    <hyperlink xmlns:r="http://schemas.openxmlformats.org/officeDocument/2006/relationships" ref="I275" r:id="rId683"/>
    <hyperlink xmlns:r="http://schemas.openxmlformats.org/officeDocument/2006/relationships" ref="Y275" r:id="rId684"/>
    <hyperlink xmlns:r="http://schemas.openxmlformats.org/officeDocument/2006/relationships" ref="H276" r:id="rId685"/>
    <hyperlink xmlns:r="http://schemas.openxmlformats.org/officeDocument/2006/relationships" ref="Y276" r:id="rId686"/>
    <hyperlink xmlns:r="http://schemas.openxmlformats.org/officeDocument/2006/relationships" ref="H277" r:id="rId687"/>
    <hyperlink xmlns:r="http://schemas.openxmlformats.org/officeDocument/2006/relationships" ref="Y277" r:id="rId688"/>
    <hyperlink xmlns:r="http://schemas.openxmlformats.org/officeDocument/2006/relationships" ref="Y278" r:id="rId689"/>
    <hyperlink xmlns:r="http://schemas.openxmlformats.org/officeDocument/2006/relationships" ref="H279" r:id="rId690"/>
    <hyperlink xmlns:r="http://schemas.openxmlformats.org/officeDocument/2006/relationships" ref="I279" r:id="rId691"/>
    <hyperlink xmlns:r="http://schemas.openxmlformats.org/officeDocument/2006/relationships" ref="Y279" r:id="rId692"/>
    <hyperlink xmlns:r="http://schemas.openxmlformats.org/officeDocument/2006/relationships" ref="H280" r:id="rId693"/>
    <hyperlink xmlns:r="http://schemas.openxmlformats.org/officeDocument/2006/relationships" ref="I280" r:id="rId694"/>
    <hyperlink xmlns:r="http://schemas.openxmlformats.org/officeDocument/2006/relationships" ref="Y280" r:id="rId695"/>
    <hyperlink xmlns:r="http://schemas.openxmlformats.org/officeDocument/2006/relationships" ref="Y281" r:id="rId696"/>
    <hyperlink xmlns:r="http://schemas.openxmlformats.org/officeDocument/2006/relationships" ref="I282" r:id="rId697"/>
    <hyperlink xmlns:r="http://schemas.openxmlformats.org/officeDocument/2006/relationships" ref="Y282" r:id="rId698"/>
    <hyperlink xmlns:r="http://schemas.openxmlformats.org/officeDocument/2006/relationships" ref="H283" r:id="rId699"/>
    <hyperlink xmlns:r="http://schemas.openxmlformats.org/officeDocument/2006/relationships" ref="I283" r:id="rId700"/>
    <hyperlink xmlns:r="http://schemas.openxmlformats.org/officeDocument/2006/relationships" ref="Y283" r:id="rId701"/>
    <hyperlink xmlns:r="http://schemas.openxmlformats.org/officeDocument/2006/relationships" ref="H284" r:id="rId702"/>
    <hyperlink xmlns:r="http://schemas.openxmlformats.org/officeDocument/2006/relationships" ref="Y284" r:id="rId703"/>
    <hyperlink xmlns:r="http://schemas.openxmlformats.org/officeDocument/2006/relationships" ref="H285" r:id="rId704"/>
    <hyperlink xmlns:r="http://schemas.openxmlformats.org/officeDocument/2006/relationships" ref="I285" r:id="rId705"/>
    <hyperlink xmlns:r="http://schemas.openxmlformats.org/officeDocument/2006/relationships" ref="Y285" r:id="rId706"/>
    <hyperlink xmlns:r="http://schemas.openxmlformats.org/officeDocument/2006/relationships" ref="H286" r:id="rId707"/>
    <hyperlink xmlns:r="http://schemas.openxmlformats.org/officeDocument/2006/relationships" ref="I286" r:id="rId708"/>
    <hyperlink xmlns:r="http://schemas.openxmlformats.org/officeDocument/2006/relationships" ref="Y286" r:id="rId709"/>
    <hyperlink xmlns:r="http://schemas.openxmlformats.org/officeDocument/2006/relationships" ref="H287" r:id="rId710"/>
    <hyperlink xmlns:r="http://schemas.openxmlformats.org/officeDocument/2006/relationships" ref="I287" r:id="rId711"/>
    <hyperlink xmlns:r="http://schemas.openxmlformats.org/officeDocument/2006/relationships" ref="Y287" r:id="rId712"/>
    <hyperlink xmlns:r="http://schemas.openxmlformats.org/officeDocument/2006/relationships" ref="I288" r:id="rId713"/>
    <hyperlink xmlns:r="http://schemas.openxmlformats.org/officeDocument/2006/relationships" ref="Y288" r:id="rId714"/>
    <hyperlink xmlns:r="http://schemas.openxmlformats.org/officeDocument/2006/relationships" ref="H289" r:id="rId715"/>
    <hyperlink xmlns:r="http://schemas.openxmlformats.org/officeDocument/2006/relationships" ref="I289" r:id="rId716"/>
    <hyperlink xmlns:r="http://schemas.openxmlformats.org/officeDocument/2006/relationships" ref="Y289" r:id="rId717"/>
    <hyperlink xmlns:r="http://schemas.openxmlformats.org/officeDocument/2006/relationships" ref="H290" r:id="rId718"/>
    <hyperlink xmlns:r="http://schemas.openxmlformats.org/officeDocument/2006/relationships" ref="Y290" r:id="rId719"/>
    <hyperlink xmlns:r="http://schemas.openxmlformats.org/officeDocument/2006/relationships" ref="H291" r:id="rId720"/>
    <hyperlink xmlns:r="http://schemas.openxmlformats.org/officeDocument/2006/relationships" ref="I291" r:id="rId721"/>
    <hyperlink xmlns:r="http://schemas.openxmlformats.org/officeDocument/2006/relationships" ref="Y291" r:id="rId722"/>
    <hyperlink xmlns:r="http://schemas.openxmlformats.org/officeDocument/2006/relationships" ref="H292" r:id="rId723"/>
    <hyperlink xmlns:r="http://schemas.openxmlformats.org/officeDocument/2006/relationships" ref="I292" r:id="rId724"/>
    <hyperlink xmlns:r="http://schemas.openxmlformats.org/officeDocument/2006/relationships" ref="Y292" r:id="rId725"/>
    <hyperlink xmlns:r="http://schemas.openxmlformats.org/officeDocument/2006/relationships" ref="I293" r:id="rId726"/>
    <hyperlink xmlns:r="http://schemas.openxmlformats.org/officeDocument/2006/relationships" ref="Y293" r:id="rId727"/>
    <hyperlink xmlns:r="http://schemas.openxmlformats.org/officeDocument/2006/relationships" ref="H294" r:id="rId728"/>
    <hyperlink xmlns:r="http://schemas.openxmlformats.org/officeDocument/2006/relationships" ref="I294" r:id="rId729"/>
    <hyperlink xmlns:r="http://schemas.openxmlformats.org/officeDocument/2006/relationships" ref="Y294" r:id="rId730"/>
    <hyperlink xmlns:r="http://schemas.openxmlformats.org/officeDocument/2006/relationships" ref="H295" r:id="rId731"/>
    <hyperlink xmlns:r="http://schemas.openxmlformats.org/officeDocument/2006/relationships" ref="I295" r:id="rId732"/>
    <hyperlink xmlns:r="http://schemas.openxmlformats.org/officeDocument/2006/relationships" ref="Y295" r:id="rId733"/>
    <hyperlink xmlns:r="http://schemas.openxmlformats.org/officeDocument/2006/relationships" ref="Y296" r:id="rId734"/>
    <hyperlink xmlns:r="http://schemas.openxmlformats.org/officeDocument/2006/relationships" ref="H297" r:id="rId735"/>
    <hyperlink xmlns:r="http://schemas.openxmlformats.org/officeDocument/2006/relationships" ref="Y297" r:id="rId736"/>
    <hyperlink xmlns:r="http://schemas.openxmlformats.org/officeDocument/2006/relationships" ref="H298" r:id="rId737"/>
    <hyperlink xmlns:r="http://schemas.openxmlformats.org/officeDocument/2006/relationships" ref="I298" r:id="rId738"/>
    <hyperlink xmlns:r="http://schemas.openxmlformats.org/officeDocument/2006/relationships" ref="Y298" r:id="rId739"/>
    <hyperlink xmlns:r="http://schemas.openxmlformats.org/officeDocument/2006/relationships" ref="H299" r:id="rId740"/>
    <hyperlink xmlns:r="http://schemas.openxmlformats.org/officeDocument/2006/relationships" ref="Y299" r:id="rId741"/>
    <hyperlink xmlns:r="http://schemas.openxmlformats.org/officeDocument/2006/relationships" ref="H300" r:id="rId742"/>
    <hyperlink xmlns:r="http://schemas.openxmlformats.org/officeDocument/2006/relationships" ref="I300" r:id="rId743"/>
    <hyperlink xmlns:r="http://schemas.openxmlformats.org/officeDocument/2006/relationships" ref="Y300" r:id="rId744"/>
    <hyperlink xmlns:r="http://schemas.openxmlformats.org/officeDocument/2006/relationships" ref="H301" r:id="rId745"/>
    <hyperlink xmlns:r="http://schemas.openxmlformats.org/officeDocument/2006/relationships" ref="I301" r:id="rId746"/>
    <hyperlink xmlns:r="http://schemas.openxmlformats.org/officeDocument/2006/relationships" ref="Y301" r:id="rId747"/>
    <hyperlink xmlns:r="http://schemas.openxmlformats.org/officeDocument/2006/relationships" ref="H302" r:id="rId748"/>
    <hyperlink xmlns:r="http://schemas.openxmlformats.org/officeDocument/2006/relationships" ref="I302" r:id="rId749"/>
    <hyperlink xmlns:r="http://schemas.openxmlformats.org/officeDocument/2006/relationships" ref="Y302" r:id="rId750"/>
    <hyperlink xmlns:r="http://schemas.openxmlformats.org/officeDocument/2006/relationships" ref="H303" r:id="rId751"/>
    <hyperlink xmlns:r="http://schemas.openxmlformats.org/officeDocument/2006/relationships" ref="I303" r:id="rId752"/>
    <hyperlink xmlns:r="http://schemas.openxmlformats.org/officeDocument/2006/relationships" ref="Y303" r:id="rId753"/>
    <hyperlink xmlns:r="http://schemas.openxmlformats.org/officeDocument/2006/relationships" ref="I304" r:id="rId754"/>
    <hyperlink xmlns:r="http://schemas.openxmlformats.org/officeDocument/2006/relationships" ref="Y304" r:id="rId755"/>
    <hyperlink xmlns:r="http://schemas.openxmlformats.org/officeDocument/2006/relationships" ref="H305" r:id="rId756"/>
    <hyperlink xmlns:r="http://schemas.openxmlformats.org/officeDocument/2006/relationships" ref="Y305" r:id="rId757"/>
    <hyperlink xmlns:r="http://schemas.openxmlformats.org/officeDocument/2006/relationships" ref="H306" r:id="rId758"/>
    <hyperlink xmlns:r="http://schemas.openxmlformats.org/officeDocument/2006/relationships" ref="I306" r:id="rId759"/>
    <hyperlink xmlns:r="http://schemas.openxmlformats.org/officeDocument/2006/relationships" ref="Y306" r:id="rId760"/>
    <hyperlink xmlns:r="http://schemas.openxmlformats.org/officeDocument/2006/relationships" ref="H307" r:id="rId761"/>
    <hyperlink xmlns:r="http://schemas.openxmlformats.org/officeDocument/2006/relationships" ref="I307" r:id="rId762"/>
    <hyperlink xmlns:r="http://schemas.openxmlformats.org/officeDocument/2006/relationships" ref="Y307" r:id="rId763"/>
    <hyperlink xmlns:r="http://schemas.openxmlformats.org/officeDocument/2006/relationships" ref="H308" r:id="rId764"/>
    <hyperlink xmlns:r="http://schemas.openxmlformats.org/officeDocument/2006/relationships" ref="I308" r:id="rId765"/>
    <hyperlink xmlns:r="http://schemas.openxmlformats.org/officeDocument/2006/relationships" ref="Y308" r:id="rId766"/>
    <hyperlink xmlns:r="http://schemas.openxmlformats.org/officeDocument/2006/relationships" ref="H309" r:id="rId767"/>
    <hyperlink xmlns:r="http://schemas.openxmlformats.org/officeDocument/2006/relationships" ref="Y309" r:id="rId768"/>
    <hyperlink xmlns:r="http://schemas.openxmlformats.org/officeDocument/2006/relationships" ref="H310" r:id="rId769"/>
    <hyperlink xmlns:r="http://schemas.openxmlformats.org/officeDocument/2006/relationships" ref="Y310" r:id="rId770"/>
    <hyperlink xmlns:r="http://schemas.openxmlformats.org/officeDocument/2006/relationships" ref="Y311" r:id="rId771"/>
    <hyperlink xmlns:r="http://schemas.openxmlformats.org/officeDocument/2006/relationships" ref="Y312" r:id="rId772"/>
    <hyperlink xmlns:r="http://schemas.openxmlformats.org/officeDocument/2006/relationships" ref="H313" r:id="rId773"/>
    <hyperlink xmlns:r="http://schemas.openxmlformats.org/officeDocument/2006/relationships" ref="Y313" r:id="rId774"/>
    <hyperlink xmlns:r="http://schemas.openxmlformats.org/officeDocument/2006/relationships" ref="H314" r:id="rId775"/>
    <hyperlink xmlns:r="http://schemas.openxmlformats.org/officeDocument/2006/relationships" ref="I314" r:id="rId776"/>
    <hyperlink xmlns:r="http://schemas.openxmlformats.org/officeDocument/2006/relationships" ref="Y314" r:id="rId777"/>
    <hyperlink xmlns:r="http://schemas.openxmlformats.org/officeDocument/2006/relationships" ref="H315" r:id="rId778"/>
    <hyperlink xmlns:r="http://schemas.openxmlformats.org/officeDocument/2006/relationships" ref="I315" r:id="rId779"/>
    <hyperlink xmlns:r="http://schemas.openxmlformats.org/officeDocument/2006/relationships" ref="Y315" r:id="rId780"/>
    <hyperlink xmlns:r="http://schemas.openxmlformats.org/officeDocument/2006/relationships" ref="H316" r:id="rId781"/>
    <hyperlink xmlns:r="http://schemas.openxmlformats.org/officeDocument/2006/relationships" ref="Y316" r:id="rId782"/>
    <hyperlink xmlns:r="http://schemas.openxmlformats.org/officeDocument/2006/relationships" ref="Y317" r:id="rId783"/>
    <hyperlink xmlns:r="http://schemas.openxmlformats.org/officeDocument/2006/relationships" ref="H318" r:id="rId784"/>
    <hyperlink xmlns:r="http://schemas.openxmlformats.org/officeDocument/2006/relationships" ref="I318" r:id="rId785"/>
    <hyperlink xmlns:r="http://schemas.openxmlformats.org/officeDocument/2006/relationships" ref="Y318" r:id="rId786"/>
    <hyperlink xmlns:r="http://schemas.openxmlformats.org/officeDocument/2006/relationships" ref="H319" r:id="rId787"/>
    <hyperlink xmlns:r="http://schemas.openxmlformats.org/officeDocument/2006/relationships" ref="I319" r:id="rId788"/>
    <hyperlink xmlns:r="http://schemas.openxmlformats.org/officeDocument/2006/relationships" ref="Y319" r:id="rId789"/>
    <hyperlink xmlns:r="http://schemas.openxmlformats.org/officeDocument/2006/relationships" ref="Y320" r:id="rId790"/>
    <hyperlink xmlns:r="http://schemas.openxmlformats.org/officeDocument/2006/relationships" ref="Y321" r:id="rId791"/>
    <hyperlink xmlns:r="http://schemas.openxmlformats.org/officeDocument/2006/relationships" ref="I322" r:id="rId792"/>
    <hyperlink xmlns:r="http://schemas.openxmlformats.org/officeDocument/2006/relationships" ref="Y322" r:id="rId793"/>
    <hyperlink xmlns:r="http://schemas.openxmlformats.org/officeDocument/2006/relationships" ref="H323" r:id="rId794"/>
    <hyperlink xmlns:r="http://schemas.openxmlformats.org/officeDocument/2006/relationships" ref="Y323" r:id="rId795"/>
    <hyperlink xmlns:r="http://schemas.openxmlformats.org/officeDocument/2006/relationships" ref="Y324" r:id="rId796"/>
    <hyperlink xmlns:r="http://schemas.openxmlformats.org/officeDocument/2006/relationships" ref="H325" r:id="rId797"/>
    <hyperlink xmlns:r="http://schemas.openxmlformats.org/officeDocument/2006/relationships" ref="Y325" r:id="rId798"/>
    <hyperlink xmlns:r="http://schemas.openxmlformats.org/officeDocument/2006/relationships" ref="H326" r:id="rId799"/>
    <hyperlink xmlns:r="http://schemas.openxmlformats.org/officeDocument/2006/relationships" ref="I326" r:id="rId800"/>
    <hyperlink xmlns:r="http://schemas.openxmlformats.org/officeDocument/2006/relationships" ref="Y326" r:id="rId801"/>
    <hyperlink xmlns:r="http://schemas.openxmlformats.org/officeDocument/2006/relationships" ref="H327" r:id="rId802"/>
    <hyperlink xmlns:r="http://schemas.openxmlformats.org/officeDocument/2006/relationships" ref="I327" r:id="rId803"/>
    <hyperlink xmlns:r="http://schemas.openxmlformats.org/officeDocument/2006/relationships" ref="Y327" r:id="rId804"/>
    <hyperlink xmlns:r="http://schemas.openxmlformats.org/officeDocument/2006/relationships" ref="H328" r:id="rId805"/>
    <hyperlink xmlns:r="http://schemas.openxmlformats.org/officeDocument/2006/relationships" ref="I328" r:id="rId806"/>
    <hyperlink xmlns:r="http://schemas.openxmlformats.org/officeDocument/2006/relationships" ref="Y328" r:id="rId807"/>
    <hyperlink xmlns:r="http://schemas.openxmlformats.org/officeDocument/2006/relationships" ref="H329" r:id="rId808"/>
    <hyperlink xmlns:r="http://schemas.openxmlformats.org/officeDocument/2006/relationships" ref="Y329" r:id="rId809"/>
    <hyperlink xmlns:r="http://schemas.openxmlformats.org/officeDocument/2006/relationships" ref="H330" r:id="rId810"/>
    <hyperlink xmlns:r="http://schemas.openxmlformats.org/officeDocument/2006/relationships" ref="I330" r:id="rId811"/>
    <hyperlink xmlns:r="http://schemas.openxmlformats.org/officeDocument/2006/relationships" ref="Y330" r:id="rId812"/>
    <hyperlink xmlns:r="http://schemas.openxmlformats.org/officeDocument/2006/relationships" ref="H331" r:id="rId813"/>
    <hyperlink xmlns:r="http://schemas.openxmlformats.org/officeDocument/2006/relationships" ref="I331" r:id="rId814"/>
    <hyperlink xmlns:r="http://schemas.openxmlformats.org/officeDocument/2006/relationships" ref="Y331" r:id="rId815"/>
    <hyperlink xmlns:r="http://schemas.openxmlformats.org/officeDocument/2006/relationships" ref="H332" r:id="rId816"/>
    <hyperlink xmlns:r="http://schemas.openxmlformats.org/officeDocument/2006/relationships" ref="I332" r:id="rId817"/>
    <hyperlink xmlns:r="http://schemas.openxmlformats.org/officeDocument/2006/relationships" ref="Y332" r:id="rId818"/>
    <hyperlink xmlns:r="http://schemas.openxmlformats.org/officeDocument/2006/relationships" ref="H333" r:id="rId819"/>
    <hyperlink xmlns:r="http://schemas.openxmlformats.org/officeDocument/2006/relationships" ref="I333" r:id="rId820"/>
    <hyperlink xmlns:r="http://schemas.openxmlformats.org/officeDocument/2006/relationships" ref="Y333" r:id="rId821"/>
    <hyperlink xmlns:r="http://schemas.openxmlformats.org/officeDocument/2006/relationships" ref="H334" r:id="rId822"/>
    <hyperlink xmlns:r="http://schemas.openxmlformats.org/officeDocument/2006/relationships" ref="I334" r:id="rId823"/>
    <hyperlink xmlns:r="http://schemas.openxmlformats.org/officeDocument/2006/relationships" ref="Y334" r:id="rId824"/>
    <hyperlink xmlns:r="http://schemas.openxmlformats.org/officeDocument/2006/relationships" ref="H335" r:id="rId825"/>
    <hyperlink xmlns:r="http://schemas.openxmlformats.org/officeDocument/2006/relationships" ref="I335" r:id="rId826"/>
    <hyperlink xmlns:r="http://schemas.openxmlformats.org/officeDocument/2006/relationships" ref="Y335" r:id="rId827"/>
    <hyperlink xmlns:r="http://schemas.openxmlformats.org/officeDocument/2006/relationships" ref="H336" r:id="rId828"/>
    <hyperlink xmlns:r="http://schemas.openxmlformats.org/officeDocument/2006/relationships" ref="I336" r:id="rId829"/>
    <hyperlink xmlns:r="http://schemas.openxmlformats.org/officeDocument/2006/relationships" ref="Y336" r:id="rId830"/>
    <hyperlink xmlns:r="http://schemas.openxmlformats.org/officeDocument/2006/relationships" ref="H337" r:id="rId831"/>
    <hyperlink xmlns:r="http://schemas.openxmlformats.org/officeDocument/2006/relationships" ref="I337" r:id="rId832"/>
    <hyperlink xmlns:r="http://schemas.openxmlformats.org/officeDocument/2006/relationships" ref="Y337" r:id="rId833"/>
    <hyperlink xmlns:r="http://schemas.openxmlformats.org/officeDocument/2006/relationships" ref="I338" r:id="rId834"/>
    <hyperlink xmlns:r="http://schemas.openxmlformats.org/officeDocument/2006/relationships" ref="Y338" r:id="rId835"/>
    <hyperlink xmlns:r="http://schemas.openxmlformats.org/officeDocument/2006/relationships" ref="H339" r:id="rId836"/>
    <hyperlink xmlns:r="http://schemas.openxmlformats.org/officeDocument/2006/relationships" ref="I339" r:id="rId837"/>
    <hyperlink xmlns:r="http://schemas.openxmlformats.org/officeDocument/2006/relationships" ref="Y339" r:id="rId838"/>
    <hyperlink xmlns:r="http://schemas.openxmlformats.org/officeDocument/2006/relationships" ref="Y340" r:id="rId839"/>
    <hyperlink xmlns:r="http://schemas.openxmlformats.org/officeDocument/2006/relationships" ref="H341" r:id="rId840"/>
    <hyperlink xmlns:r="http://schemas.openxmlformats.org/officeDocument/2006/relationships" ref="I341" r:id="rId841"/>
    <hyperlink xmlns:r="http://schemas.openxmlformats.org/officeDocument/2006/relationships" ref="Y341" r:id="rId842"/>
    <hyperlink xmlns:r="http://schemas.openxmlformats.org/officeDocument/2006/relationships" ref="H342" r:id="rId843"/>
    <hyperlink xmlns:r="http://schemas.openxmlformats.org/officeDocument/2006/relationships" ref="I342" r:id="rId844"/>
    <hyperlink xmlns:r="http://schemas.openxmlformats.org/officeDocument/2006/relationships" ref="Y342" r:id="rId845"/>
    <hyperlink xmlns:r="http://schemas.openxmlformats.org/officeDocument/2006/relationships" ref="Y343" r:id="rId846"/>
    <hyperlink xmlns:r="http://schemas.openxmlformats.org/officeDocument/2006/relationships" ref="Y344" r:id="rId847"/>
    <hyperlink xmlns:r="http://schemas.openxmlformats.org/officeDocument/2006/relationships" ref="H345" r:id="rId848"/>
    <hyperlink xmlns:r="http://schemas.openxmlformats.org/officeDocument/2006/relationships" ref="I345" r:id="rId849"/>
    <hyperlink xmlns:r="http://schemas.openxmlformats.org/officeDocument/2006/relationships" ref="Y345" r:id="rId850"/>
    <hyperlink xmlns:r="http://schemas.openxmlformats.org/officeDocument/2006/relationships" ref="I346" r:id="rId851"/>
    <hyperlink xmlns:r="http://schemas.openxmlformats.org/officeDocument/2006/relationships" ref="Y346" r:id="rId852"/>
    <hyperlink xmlns:r="http://schemas.openxmlformats.org/officeDocument/2006/relationships" ref="H347" r:id="rId853"/>
    <hyperlink xmlns:r="http://schemas.openxmlformats.org/officeDocument/2006/relationships" ref="I347" r:id="rId854"/>
    <hyperlink xmlns:r="http://schemas.openxmlformats.org/officeDocument/2006/relationships" ref="Y347" r:id="rId855"/>
    <hyperlink xmlns:r="http://schemas.openxmlformats.org/officeDocument/2006/relationships" ref="H348" r:id="rId856"/>
    <hyperlink xmlns:r="http://schemas.openxmlformats.org/officeDocument/2006/relationships" ref="Y348" r:id="rId857"/>
    <hyperlink xmlns:r="http://schemas.openxmlformats.org/officeDocument/2006/relationships" ref="Y349" r:id="rId858"/>
    <hyperlink xmlns:r="http://schemas.openxmlformats.org/officeDocument/2006/relationships" ref="H350" r:id="rId859"/>
    <hyperlink xmlns:r="http://schemas.openxmlformats.org/officeDocument/2006/relationships" ref="Y350" r:id="rId860"/>
    <hyperlink xmlns:r="http://schemas.openxmlformats.org/officeDocument/2006/relationships" ref="I351" r:id="rId861"/>
    <hyperlink xmlns:r="http://schemas.openxmlformats.org/officeDocument/2006/relationships" ref="Y351" r:id="rId862"/>
    <hyperlink xmlns:r="http://schemas.openxmlformats.org/officeDocument/2006/relationships" ref="H352" r:id="rId863"/>
    <hyperlink xmlns:r="http://schemas.openxmlformats.org/officeDocument/2006/relationships" ref="I352" r:id="rId864"/>
    <hyperlink xmlns:r="http://schemas.openxmlformats.org/officeDocument/2006/relationships" ref="Y352" r:id="rId865"/>
    <hyperlink xmlns:r="http://schemas.openxmlformats.org/officeDocument/2006/relationships" ref="H353" r:id="rId866"/>
    <hyperlink xmlns:r="http://schemas.openxmlformats.org/officeDocument/2006/relationships" ref="Y353" r:id="rId867"/>
    <hyperlink xmlns:r="http://schemas.openxmlformats.org/officeDocument/2006/relationships" ref="H354" r:id="rId868"/>
    <hyperlink xmlns:r="http://schemas.openxmlformats.org/officeDocument/2006/relationships" ref="I354" r:id="rId869"/>
    <hyperlink xmlns:r="http://schemas.openxmlformats.org/officeDocument/2006/relationships" ref="Y354" r:id="rId870"/>
    <hyperlink xmlns:r="http://schemas.openxmlformats.org/officeDocument/2006/relationships" ref="H355" r:id="rId871"/>
    <hyperlink xmlns:r="http://schemas.openxmlformats.org/officeDocument/2006/relationships" ref="I355" r:id="rId872"/>
    <hyperlink xmlns:r="http://schemas.openxmlformats.org/officeDocument/2006/relationships" ref="Y355" r:id="rId873"/>
    <hyperlink xmlns:r="http://schemas.openxmlformats.org/officeDocument/2006/relationships" ref="H356" r:id="rId874"/>
    <hyperlink xmlns:r="http://schemas.openxmlformats.org/officeDocument/2006/relationships" ref="Y356" r:id="rId875"/>
    <hyperlink xmlns:r="http://schemas.openxmlformats.org/officeDocument/2006/relationships" ref="H357" r:id="rId876"/>
    <hyperlink xmlns:r="http://schemas.openxmlformats.org/officeDocument/2006/relationships" ref="I357" r:id="rId877"/>
    <hyperlink xmlns:r="http://schemas.openxmlformats.org/officeDocument/2006/relationships" ref="Y357" r:id="rId878"/>
    <hyperlink xmlns:r="http://schemas.openxmlformats.org/officeDocument/2006/relationships" ref="H358" r:id="rId879"/>
    <hyperlink xmlns:r="http://schemas.openxmlformats.org/officeDocument/2006/relationships" ref="I358" r:id="rId880"/>
    <hyperlink xmlns:r="http://schemas.openxmlformats.org/officeDocument/2006/relationships" ref="Y358" r:id="rId881"/>
    <hyperlink xmlns:r="http://schemas.openxmlformats.org/officeDocument/2006/relationships" ref="H359" r:id="rId882"/>
    <hyperlink xmlns:r="http://schemas.openxmlformats.org/officeDocument/2006/relationships" ref="I359" r:id="rId883"/>
    <hyperlink xmlns:r="http://schemas.openxmlformats.org/officeDocument/2006/relationships" ref="Y359" r:id="rId884"/>
    <hyperlink xmlns:r="http://schemas.openxmlformats.org/officeDocument/2006/relationships" ref="H360" r:id="rId885"/>
    <hyperlink xmlns:r="http://schemas.openxmlformats.org/officeDocument/2006/relationships" ref="Y360" r:id="rId886"/>
    <hyperlink xmlns:r="http://schemas.openxmlformats.org/officeDocument/2006/relationships" ref="H361" r:id="rId887"/>
    <hyperlink xmlns:r="http://schemas.openxmlformats.org/officeDocument/2006/relationships" ref="I361" r:id="rId888"/>
    <hyperlink xmlns:r="http://schemas.openxmlformats.org/officeDocument/2006/relationships" ref="Y361" r:id="rId889"/>
    <hyperlink xmlns:r="http://schemas.openxmlformats.org/officeDocument/2006/relationships" ref="H362" r:id="rId890"/>
    <hyperlink xmlns:r="http://schemas.openxmlformats.org/officeDocument/2006/relationships" ref="Y362" r:id="rId891"/>
    <hyperlink xmlns:r="http://schemas.openxmlformats.org/officeDocument/2006/relationships" ref="H363" r:id="rId892"/>
    <hyperlink xmlns:r="http://schemas.openxmlformats.org/officeDocument/2006/relationships" ref="I363" r:id="rId893"/>
    <hyperlink xmlns:r="http://schemas.openxmlformats.org/officeDocument/2006/relationships" ref="Y363" r:id="rId894"/>
    <hyperlink xmlns:r="http://schemas.openxmlformats.org/officeDocument/2006/relationships" ref="H364" r:id="rId895"/>
    <hyperlink xmlns:r="http://schemas.openxmlformats.org/officeDocument/2006/relationships" ref="I364" r:id="rId896"/>
    <hyperlink xmlns:r="http://schemas.openxmlformats.org/officeDocument/2006/relationships" ref="Y364" r:id="rId897"/>
    <hyperlink xmlns:r="http://schemas.openxmlformats.org/officeDocument/2006/relationships" ref="H365" r:id="rId898"/>
    <hyperlink xmlns:r="http://schemas.openxmlformats.org/officeDocument/2006/relationships" ref="I365" r:id="rId899"/>
    <hyperlink xmlns:r="http://schemas.openxmlformats.org/officeDocument/2006/relationships" ref="Y365" r:id="rId900"/>
    <hyperlink xmlns:r="http://schemas.openxmlformats.org/officeDocument/2006/relationships" ref="H366" r:id="rId901"/>
    <hyperlink xmlns:r="http://schemas.openxmlformats.org/officeDocument/2006/relationships" ref="I366" r:id="rId902"/>
    <hyperlink xmlns:r="http://schemas.openxmlformats.org/officeDocument/2006/relationships" ref="Y366" r:id="rId903"/>
    <hyperlink xmlns:r="http://schemas.openxmlformats.org/officeDocument/2006/relationships" ref="H367" r:id="rId904"/>
    <hyperlink xmlns:r="http://schemas.openxmlformats.org/officeDocument/2006/relationships" ref="I367" r:id="rId905"/>
    <hyperlink xmlns:r="http://schemas.openxmlformats.org/officeDocument/2006/relationships" ref="Y367" r:id="rId906"/>
    <hyperlink xmlns:r="http://schemas.openxmlformats.org/officeDocument/2006/relationships" ref="H368" r:id="rId907"/>
    <hyperlink xmlns:r="http://schemas.openxmlformats.org/officeDocument/2006/relationships" ref="Y368" r:id="rId908"/>
    <hyperlink xmlns:r="http://schemas.openxmlformats.org/officeDocument/2006/relationships" ref="H369" r:id="rId909"/>
    <hyperlink xmlns:r="http://schemas.openxmlformats.org/officeDocument/2006/relationships" ref="Y369" r:id="rId910"/>
    <hyperlink xmlns:r="http://schemas.openxmlformats.org/officeDocument/2006/relationships" ref="H370" r:id="rId911"/>
    <hyperlink xmlns:r="http://schemas.openxmlformats.org/officeDocument/2006/relationships" ref="I370" r:id="rId912"/>
    <hyperlink xmlns:r="http://schemas.openxmlformats.org/officeDocument/2006/relationships" ref="Y370" r:id="rId913"/>
    <hyperlink xmlns:r="http://schemas.openxmlformats.org/officeDocument/2006/relationships" ref="H371" r:id="rId914"/>
    <hyperlink xmlns:r="http://schemas.openxmlformats.org/officeDocument/2006/relationships" ref="I371" r:id="rId915"/>
    <hyperlink xmlns:r="http://schemas.openxmlformats.org/officeDocument/2006/relationships" ref="Y371" r:id="rId916"/>
    <hyperlink xmlns:r="http://schemas.openxmlformats.org/officeDocument/2006/relationships" ref="H372" r:id="rId917"/>
    <hyperlink xmlns:r="http://schemas.openxmlformats.org/officeDocument/2006/relationships" ref="I372" r:id="rId918"/>
    <hyperlink xmlns:r="http://schemas.openxmlformats.org/officeDocument/2006/relationships" ref="Y372" r:id="rId919"/>
    <hyperlink xmlns:r="http://schemas.openxmlformats.org/officeDocument/2006/relationships" ref="H373" r:id="rId920"/>
    <hyperlink xmlns:r="http://schemas.openxmlformats.org/officeDocument/2006/relationships" ref="Y373" r:id="rId921"/>
    <hyperlink xmlns:r="http://schemas.openxmlformats.org/officeDocument/2006/relationships" ref="H374" r:id="rId922"/>
    <hyperlink xmlns:r="http://schemas.openxmlformats.org/officeDocument/2006/relationships" ref="I374" r:id="rId923"/>
    <hyperlink xmlns:r="http://schemas.openxmlformats.org/officeDocument/2006/relationships" ref="Y374" r:id="rId924"/>
    <hyperlink xmlns:r="http://schemas.openxmlformats.org/officeDocument/2006/relationships" ref="H375" r:id="rId925"/>
    <hyperlink xmlns:r="http://schemas.openxmlformats.org/officeDocument/2006/relationships" ref="I375" r:id="rId926"/>
    <hyperlink xmlns:r="http://schemas.openxmlformats.org/officeDocument/2006/relationships" ref="Y375" r:id="rId927"/>
    <hyperlink xmlns:r="http://schemas.openxmlformats.org/officeDocument/2006/relationships" ref="H376" r:id="rId928"/>
    <hyperlink xmlns:r="http://schemas.openxmlformats.org/officeDocument/2006/relationships" ref="I376" r:id="rId929"/>
    <hyperlink xmlns:r="http://schemas.openxmlformats.org/officeDocument/2006/relationships" ref="Y376" r:id="rId930"/>
    <hyperlink xmlns:r="http://schemas.openxmlformats.org/officeDocument/2006/relationships" ref="H377" r:id="rId931"/>
    <hyperlink xmlns:r="http://schemas.openxmlformats.org/officeDocument/2006/relationships" ref="Y377" r:id="rId932"/>
    <hyperlink xmlns:r="http://schemas.openxmlformats.org/officeDocument/2006/relationships" ref="H378" r:id="rId933"/>
    <hyperlink xmlns:r="http://schemas.openxmlformats.org/officeDocument/2006/relationships" ref="I378" r:id="rId934"/>
    <hyperlink xmlns:r="http://schemas.openxmlformats.org/officeDocument/2006/relationships" ref="Y378" r:id="rId935"/>
    <hyperlink xmlns:r="http://schemas.openxmlformats.org/officeDocument/2006/relationships" ref="H379" r:id="rId936"/>
    <hyperlink xmlns:r="http://schemas.openxmlformats.org/officeDocument/2006/relationships" ref="I379" r:id="rId937"/>
    <hyperlink xmlns:r="http://schemas.openxmlformats.org/officeDocument/2006/relationships" ref="Y379" r:id="rId938"/>
    <hyperlink xmlns:r="http://schemas.openxmlformats.org/officeDocument/2006/relationships" ref="H380" r:id="rId939"/>
    <hyperlink xmlns:r="http://schemas.openxmlformats.org/officeDocument/2006/relationships" ref="I380" r:id="rId940"/>
    <hyperlink xmlns:r="http://schemas.openxmlformats.org/officeDocument/2006/relationships" ref="Y380" r:id="rId941"/>
    <hyperlink xmlns:r="http://schemas.openxmlformats.org/officeDocument/2006/relationships" ref="H381" r:id="rId942"/>
    <hyperlink xmlns:r="http://schemas.openxmlformats.org/officeDocument/2006/relationships" ref="I381" r:id="rId943"/>
    <hyperlink xmlns:r="http://schemas.openxmlformats.org/officeDocument/2006/relationships" ref="Y381" r:id="rId944"/>
    <hyperlink xmlns:r="http://schemas.openxmlformats.org/officeDocument/2006/relationships" ref="H382" r:id="rId945"/>
    <hyperlink xmlns:r="http://schemas.openxmlformats.org/officeDocument/2006/relationships" ref="Y382" r:id="rId946"/>
    <hyperlink xmlns:r="http://schemas.openxmlformats.org/officeDocument/2006/relationships" ref="Y383" r:id="rId947"/>
    <hyperlink xmlns:r="http://schemas.openxmlformats.org/officeDocument/2006/relationships" ref="I384" r:id="rId948"/>
    <hyperlink xmlns:r="http://schemas.openxmlformats.org/officeDocument/2006/relationships" ref="Y384" r:id="rId949"/>
    <hyperlink xmlns:r="http://schemas.openxmlformats.org/officeDocument/2006/relationships" ref="I385" r:id="rId950"/>
    <hyperlink xmlns:r="http://schemas.openxmlformats.org/officeDocument/2006/relationships" ref="Y385" r:id="rId951"/>
    <hyperlink xmlns:r="http://schemas.openxmlformats.org/officeDocument/2006/relationships" ref="I386" r:id="rId952"/>
    <hyperlink xmlns:r="http://schemas.openxmlformats.org/officeDocument/2006/relationships" ref="Y386" r:id="rId953"/>
    <hyperlink xmlns:r="http://schemas.openxmlformats.org/officeDocument/2006/relationships" ref="I387" r:id="rId954"/>
    <hyperlink xmlns:r="http://schemas.openxmlformats.org/officeDocument/2006/relationships" ref="Y387" r:id="rId955"/>
    <hyperlink xmlns:r="http://schemas.openxmlformats.org/officeDocument/2006/relationships" ref="I388" r:id="rId956"/>
    <hyperlink xmlns:r="http://schemas.openxmlformats.org/officeDocument/2006/relationships" ref="Y388" r:id="rId957"/>
    <hyperlink xmlns:r="http://schemas.openxmlformats.org/officeDocument/2006/relationships" ref="I389" r:id="rId958"/>
    <hyperlink xmlns:r="http://schemas.openxmlformats.org/officeDocument/2006/relationships" ref="Y389" r:id="rId959"/>
    <hyperlink xmlns:r="http://schemas.openxmlformats.org/officeDocument/2006/relationships" ref="Y390" r:id="rId960"/>
    <hyperlink xmlns:r="http://schemas.openxmlformats.org/officeDocument/2006/relationships" ref="Y391" r:id="rId961"/>
    <hyperlink xmlns:r="http://schemas.openxmlformats.org/officeDocument/2006/relationships" ref="Y392" r:id="rId962"/>
    <hyperlink xmlns:r="http://schemas.openxmlformats.org/officeDocument/2006/relationships" ref="Y393" r:id="rId963"/>
    <hyperlink xmlns:r="http://schemas.openxmlformats.org/officeDocument/2006/relationships" ref="I394" r:id="rId964"/>
    <hyperlink xmlns:r="http://schemas.openxmlformats.org/officeDocument/2006/relationships" ref="Y394" r:id="rId965"/>
    <hyperlink xmlns:r="http://schemas.openxmlformats.org/officeDocument/2006/relationships" ref="Y395" r:id="rId966"/>
    <hyperlink xmlns:r="http://schemas.openxmlformats.org/officeDocument/2006/relationships" ref="I396" r:id="rId967"/>
    <hyperlink xmlns:r="http://schemas.openxmlformats.org/officeDocument/2006/relationships" ref="Y396" r:id="rId968"/>
    <hyperlink xmlns:r="http://schemas.openxmlformats.org/officeDocument/2006/relationships" ref="Y397" r:id="rId969"/>
    <hyperlink xmlns:r="http://schemas.openxmlformats.org/officeDocument/2006/relationships" ref="I398" r:id="rId970"/>
    <hyperlink xmlns:r="http://schemas.openxmlformats.org/officeDocument/2006/relationships" ref="Y398" r:id="rId971"/>
    <hyperlink xmlns:r="http://schemas.openxmlformats.org/officeDocument/2006/relationships" ref="Y399" r:id="rId972"/>
    <hyperlink xmlns:r="http://schemas.openxmlformats.org/officeDocument/2006/relationships" ref="Y400" r:id="rId973"/>
    <hyperlink xmlns:r="http://schemas.openxmlformats.org/officeDocument/2006/relationships" ref="Y401" r:id="rId974"/>
    <hyperlink xmlns:r="http://schemas.openxmlformats.org/officeDocument/2006/relationships" ref="Y402" r:id="rId975"/>
    <hyperlink xmlns:r="http://schemas.openxmlformats.org/officeDocument/2006/relationships" ref="Y403" r:id="rId976"/>
    <hyperlink xmlns:r="http://schemas.openxmlformats.org/officeDocument/2006/relationships" ref="Y404" r:id="rId977"/>
    <hyperlink xmlns:r="http://schemas.openxmlformats.org/officeDocument/2006/relationships" ref="Y405" r:id="rId978"/>
    <hyperlink xmlns:r="http://schemas.openxmlformats.org/officeDocument/2006/relationships" ref="Y406" r:id="rId979"/>
    <hyperlink xmlns:r="http://schemas.openxmlformats.org/officeDocument/2006/relationships" ref="I407" r:id="rId980"/>
    <hyperlink xmlns:r="http://schemas.openxmlformats.org/officeDocument/2006/relationships" ref="Y407" r:id="rId981"/>
    <hyperlink xmlns:r="http://schemas.openxmlformats.org/officeDocument/2006/relationships" ref="Y408" r:id="rId982"/>
    <hyperlink xmlns:r="http://schemas.openxmlformats.org/officeDocument/2006/relationships" ref="Y409" r:id="rId983"/>
    <hyperlink xmlns:r="http://schemas.openxmlformats.org/officeDocument/2006/relationships" ref="Y410" r:id="rId984"/>
    <hyperlink xmlns:r="http://schemas.openxmlformats.org/officeDocument/2006/relationships" ref="Y411" r:id="rId985"/>
    <hyperlink xmlns:r="http://schemas.openxmlformats.org/officeDocument/2006/relationships" ref="I412" r:id="rId986"/>
    <hyperlink xmlns:r="http://schemas.openxmlformats.org/officeDocument/2006/relationships" ref="Y412" r:id="rId987"/>
    <hyperlink xmlns:r="http://schemas.openxmlformats.org/officeDocument/2006/relationships" ref="Y413" r:id="rId988"/>
    <hyperlink xmlns:r="http://schemas.openxmlformats.org/officeDocument/2006/relationships" ref="Y414" r:id="rId989"/>
    <hyperlink xmlns:r="http://schemas.openxmlformats.org/officeDocument/2006/relationships" ref="Y415" r:id="rId990"/>
    <hyperlink xmlns:r="http://schemas.openxmlformats.org/officeDocument/2006/relationships" ref="Y416" r:id="rId991"/>
    <hyperlink xmlns:r="http://schemas.openxmlformats.org/officeDocument/2006/relationships" ref="Y417" r:id="rId992"/>
    <hyperlink xmlns:r="http://schemas.openxmlformats.org/officeDocument/2006/relationships" ref="Y418" r:id="rId993"/>
    <hyperlink xmlns:r="http://schemas.openxmlformats.org/officeDocument/2006/relationships" ref="Y419" r:id="rId994"/>
    <hyperlink xmlns:r="http://schemas.openxmlformats.org/officeDocument/2006/relationships" ref="Y420" r:id="rId995"/>
    <hyperlink xmlns:r="http://schemas.openxmlformats.org/officeDocument/2006/relationships" ref="Y421" r:id="rId996"/>
    <hyperlink xmlns:r="http://schemas.openxmlformats.org/officeDocument/2006/relationships" ref="Y422" r:id="rId997"/>
    <hyperlink xmlns:r="http://schemas.openxmlformats.org/officeDocument/2006/relationships" ref="Y423" r:id="rId998"/>
    <hyperlink xmlns:r="http://schemas.openxmlformats.org/officeDocument/2006/relationships" ref="Y424" r:id="rId999"/>
    <hyperlink xmlns:r="http://schemas.openxmlformats.org/officeDocument/2006/relationships" ref="Y425" r:id="rId1000"/>
    <hyperlink xmlns:r="http://schemas.openxmlformats.org/officeDocument/2006/relationships" ref="Y426" r:id="rId1001"/>
    <hyperlink xmlns:r="http://schemas.openxmlformats.org/officeDocument/2006/relationships" ref="Y427" r:id="rId1002"/>
    <hyperlink xmlns:r="http://schemas.openxmlformats.org/officeDocument/2006/relationships" ref="Y428" r:id="rId1003"/>
    <hyperlink xmlns:r="http://schemas.openxmlformats.org/officeDocument/2006/relationships" ref="Y429" r:id="rId1004"/>
    <hyperlink xmlns:r="http://schemas.openxmlformats.org/officeDocument/2006/relationships" ref="Y430" r:id="rId1005"/>
    <hyperlink xmlns:r="http://schemas.openxmlformats.org/officeDocument/2006/relationships" ref="Y431" r:id="rId1006"/>
    <hyperlink xmlns:r="http://schemas.openxmlformats.org/officeDocument/2006/relationships" ref="Y432" r:id="rId1007"/>
    <hyperlink xmlns:r="http://schemas.openxmlformats.org/officeDocument/2006/relationships" ref="Y433" r:id="rId1008"/>
    <hyperlink xmlns:r="http://schemas.openxmlformats.org/officeDocument/2006/relationships" ref="Y434" r:id="rId1009"/>
    <hyperlink xmlns:r="http://schemas.openxmlformats.org/officeDocument/2006/relationships" ref="Y435" r:id="rId1010"/>
    <hyperlink xmlns:r="http://schemas.openxmlformats.org/officeDocument/2006/relationships" ref="Y436" r:id="rId1011"/>
    <hyperlink xmlns:r="http://schemas.openxmlformats.org/officeDocument/2006/relationships" ref="I437" r:id="rId1012"/>
    <hyperlink xmlns:r="http://schemas.openxmlformats.org/officeDocument/2006/relationships" ref="Y437" r:id="rId1013"/>
    <hyperlink xmlns:r="http://schemas.openxmlformats.org/officeDocument/2006/relationships" ref="I438" r:id="rId1014"/>
    <hyperlink xmlns:r="http://schemas.openxmlformats.org/officeDocument/2006/relationships" ref="Y438" r:id="rId1015"/>
    <hyperlink xmlns:r="http://schemas.openxmlformats.org/officeDocument/2006/relationships" ref="Y439" r:id="rId1016"/>
    <hyperlink xmlns:r="http://schemas.openxmlformats.org/officeDocument/2006/relationships" ref="Y440" r:id="rId1017"/>
    <hyperlink xmlns:r="http://schemas.openxmlformats.org/officeDocument/2006/relationships" ref="I441" r:id="rId1018"/>
    <hyperlink xmlns:r="http://schemas.openxmlformats.org/officeDocument/2006/relationships" ref="Y441" r:id="rId1019"/>
    <hyperlink xmlns:r="http://schemas.openxmlformats.org/officeDocument/2006/relationships" ref="I442" r:id="rId1020"/>
    <hyperlink xmlns:r="http://schemas.openxmlformats.org/officeDocument/2006/relationships" ref="Y442" r:id="rId10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8" t="inlineStr">
        <is>
          <t>Status</t>
        </is>
      </c>
      <c r="B1" s="8" t="inlineStr">
        <is>
          <t>Neighbourhood</t>
        </is>
      </c>
      <c r="C1" s="8" t="inlineStr">
        <is>
          <t>Category</t>
        </is>
      </c>
      <c r="D1" s="8" t="inlineStr">
        <is>
          <t>How we know them</t>
        </is>
      </c>
      <c r="E1" s="8" t="inlineStr">
        <is>
          <t>Open?</t>
        </is>
      </c>
    </row>
    <row r="2">
      <c r="A2" t="inlineStr">
        <is>
          <t>Target</t>
        </is>
      </c>
      <c r="B2" t="inlineStr">
        <is>
          <t>Ossington</t>
        </is>
      </c>
      <c r="C2" t="inlineStr">
        <is>
          <t>Restaurant</t>
        </is>
      </c>
      <c r="D2" t="inlineStr">
        <is>
          <t>Walked in</t>
        </is>
      </c>
      <c r="E2" t="inlineStr">
        <is>
          <t>Not checked</t>
        </is>
      </c>
    </row>
    <row r="3">
      <c r="A3" t="inlineStr">
        <is>
          <t>Contacted</t>
        </is>
      </c>
      <c r="B3" t="inlineStr">
        <is>
          <t>Queen West</t>
        </is>
      </c>
      <c r="C3" t="inlineStr">
        <is>
          <t>Brunch</t>
        </is>
      </c>
      <c r="D3" t="inlineStr">
        <is>
          <t>Email</t>
        </is>
      </c>
      <c r="E3" t="inlineStr">
        <is>
          <t>Confirmed open</t>
        </is>
      </c>
    </row>
    <row r="4">
      <c r="A4" t="inlineStr">
        <is>
          <t>Meeting booked</t>
        </is>
      </c>
      <c r="B4" t="inlineStr">
        <is>
          <t>King West</t>
        </is>
      </c>
      <c r="C4" t="inlineStr">
        <is>
          <t>Café</t>
        </is>
      </c>
      <c r="D4" t="inlineStr">
        <is>
          <t>Instagram</t>
        </is>
      </c>
      <c r="E4" t="inlineStr">
        <is>
          <t>Closed</t>
        </is>
      </c>
    </row>
    <row r="5">
      <c r="A5" t="inlineStr">
        <is>
          <t>Met</t>
        </is>
      </c>
      <c r="B5" t="inlineStr">
        <is>
          <t>Financial District</t>
        </is>
      </c>
      <c r="C5" t="inlineStr">
        <is>
          <t>Bakery</t>
        </is>
      </c>
      <c r="D5" t="inlineStr">
        <is>
          <t>Friend</t>
        </is>
      </c>
    </row>
    <row r="6">
      <c r="A6" t="inlineStr">
        <is>
          <t>LOI signed</t>
        </is>
      </c>
      <c r="B6" t="inlineStr">
        <is>
          <t>Yorkville</t>
        </is>
      </c>
      <c r="C6" t="inlineStr">
        <is>
          <t>Spa</t>
        </is>
      </c>
      <c r="D6" t="inlineStr">
        <is>
          <t>Referral</t>
        </is>
      </c>
    </row>
    <row r="7">
      <c r="A7" t="inlineStr">
        <is>
          <t>Agreement signed</t>
        </is>
      </c>
      <c r="B7" t="inlineStr">
        <is>
          <t>Leslieville</t>
        </is>
      </c>
      <c r="C7" t="inlineStr">
        <is>
          <t>Studio</t>
        </is>
      </c>
      <c r="D7" t="inlineStr">
        <is>
          <t>Event</t>
        </is>
      </c>
    </row>
    <row r="8">
      <c r="A8" t="inlineStr">
        <is>
          <t>Not now</t>
        </is>
      </c>
      <c r="B8" t="inlineStr">
        <is>
          <t>Little Italy</t>
        </is>
      </c>
      <c r="C8" t="inlineStr">
        <is>
          <t>Hotel restaurant or spa</t>
        </is>
      </c>
    </row>
    <row r="9">
      <c r="B9" t="inlineStr">
        <is>
          <t>Kensington and Chinatown</t>
        </is>
      </c>
      <c r="C9" t="inlineStr">
        <is>
          <t>Experience</t>
        </is>
      </c>
    </row>
    <row r="10">
      <c r="B10" t="inlineStr">
        <is>
          <t>The Annex</t>
        </is>
      </c>
    </row>
    <row r="11">
      <c r="B11" t="inlineStr">
        <is>
          <t>Roncesvalles</t>
        </is>
      </c>
    </row>
    <row r="12">
      <c r="B12" t="inlineStr">
        <is>
          <t>Danforth</t>
        </is>
      </c>
    </row>
    <row r="13">
      <c r="B13" t="inlineStr">
        <is>
          <t>Liberty Village</t>
        </is>
      </c>
    </row>
    <row r="14">
      <c r="B14" t="inlineStr">
        <is>
          <t>Little Portugal</t>
        </is>
      </c>
    </row>
    <row r="15">
      <c r="B15" t="inlineStr">
        <is>
          <t>Parkdale</t>
        </is>
      </c>
    </row>
    <row r="16">
      <c r="B16" t="inlineStr">
        <is>
          <t>The Junction</t>
        </is>
      </c>
    </row>
    <row r="17">
      <c r="B17" t="inlineStr">
        <is>
          <t>St. Clair West</t>
        </is>
      </c>
    </row>
    <row r="18">
      <c r="B18" t="inlineStr">
        <is>
          <t>Distillery and Corktown</t>
        </is>
      </c>
    </row>
    <row r="19">
      <c r="B19" t="inlineStr">
        <is>
          <t>Summerhill and Rosedale</t>
        </is>
      </c>
    </row>
    <row r="20">
      <c r="B20" t="inlineStr">
        <is>
          <t>Midtown</t>
        </is>
      </c>
    </row>
    <row r="21">
      <c r="B21" t="inlineStr">
        <is>
          <t>Leaside</t>
        </is>
      </c>
    </row>
    <row r="22">
      <c r="B22" t="inlineStr">
        <is>
          <t>Riverdale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2026-10-16T16:58:47Z</dcterms:created>
  <dcterms:modified xsi:type="dcterms:W3CDTF">2026-10-16T16:58:48Z</dcterms:modified>
</cp:coreProperties>
</file>